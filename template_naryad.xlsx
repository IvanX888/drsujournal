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О асистент\Приложение ДРСУ\"/>
    </mc:Choice>
  </mc:AlternateContent>
  <bookViews>
    <workbookView xWindow="0" yWindow="0" windowWidth="19200" windowHeight="7640" tabRatio="962" activeTab="4"/>
  </bookViews>
  <sheets>
    <sheet name="ИТОГО" sheetId="2" r:id="rId1"/>
    <sheet name="001" sheetId="3" r:id="rId2"/>
    <sheet name="Рабочие" sheetId="4" r:id="rId3"/>
    <sheet name="SDLG" sheetId="7" r:id="rId4"/>
    <sheet name="18" sheetId="21" r:id="rId5"/>
  </sheets>
  <calcPr calcId="162913"/>
</workbook>
</file>

<file path=xl/calcChain.xml><?xml version="1.0" encoding="utf-8"?>
<calcChain xmlns="http://schemas.openxmlformats.org/spreadsheetml/2006/main">
  <c r="I107" i="21" l="1"/>
  <c r="B107" i="21"/>
  <c r="I106" i="21"/>
  <c r="B106" i="21"/>
  <c r="I105" i="21"/>
  <c r="B105" i="21"/>
  <c r="I104" i="21"/>
  <c r="B104" i="21"/>
  <c r="I103" i="21"/>
  <c r="B103" i="21"/>
  <c r="I102" i="21"/>
  <c r="B102" i="21"/>
  <c r="I101" i="21"/>
  <c r="B101" i="21"/>
  <c r="I100" i="21"/>
  <c r="B100" i="21"/>
  <c r="B99" i="21"/>
  <c r="I98" i="21"/>
  <c r="B98" i="21"/>
  <c r="I97" i="21"/>
  <c r="B97" i="21"/>
  <c r="I96" i="21"/>
  <c r="B96" i="21"/>
  <c r="I95" i="21"/>
  <c r="B95" i="21"/>
  <c r="I94" i="21"/>
  <c r="B94" i="21"/>
  <c r="I99" i="21"/>
  <c r="T20" i="4"/>
  <c r="X19" i="4"/>
  <c r="V19" i="4"/>
  <c r="AE19" i="4"/>
  <c r="T19" i="4"/>
  <c r="AA19" i="4"/>
  <c r="AC19" i="4"/>
  <c r="X18" i="4"/>
  <c r="V18" i="4"/>
  <c r="AE18" i="4"/>
  <c r="T18" i="4"/>
  <c r="AA18" i="4"/>
  <c r="AC18" i="4"/>
  <c r="AC17" i="4"/>
  <c r="X17" i="4"/>
  <c r="V17" i="4"/>
  <c r="AE17" i="4"/>
  <c r="T17" i="4"/>
  <c r="AA17" i="4"/>
  <c r="AC16" i="4"/>
  <c r="X16" i="4"/>
  <c r="V16" i="4"/>
  <c r="AE16" i="4"/>
  <c r="T16" i="4"/>
  <c r="AA16" i="4"/>
  <c r="AC15" i="4"/>
  <c r="X15" i="4"/>
  <c r="V15" i="4"/>
  <c r="AE15" i="4"/>
  <c r="T15" i="4"/>
  <c r="AA15" i="4"/>
  <c r="Z61" i="4"/>
  <c r="AA37" i="4"/>
  <c r="AA55" i="4"/>
  <c r="T89" i="4"/>
  <c r="W89" i="4"/>
  <c r="AA53" i="4"/>
  <c r="P89" i="4"/>
  <c r="X53" i="4"/>
  <c r="AA51" i="4"/>
  <c r="X51" i="4"/>
  <c r="X49" i="4"/>
  <c r="AA47" i="4"/>
  <c r="X47" i="4"/>
  <c r="AA45" i="4"/>
  <c r="P85" i="4"/>
  <c r="T85" i="4"/>
  <c r="W85" i="4"/>
  <c r="X45" i="4"/>
  <c r="AA43" i="4"/>
  <c r="X43" i="4"/>
  <c r="T90" i="4"/>
  <c r="W90" i="4"/>
  <c r="P88" i="4"/>
  <c r="T86" i="4"/>
  <c r="W86" i="4"/>
  <c r="I84" i="4"/>
  <c r="T14" i="4"/>
  <c r="T19" i="7"/>
  <c r="AA19" i="7"/>
  <c r="V19" i="7"/>
  <c r="AE19" i="7"/>
  <c r="X19" i="7"/>
  <c r="AC19" i="7"/>
  <c r="T20" i="7"/>
  <c r="AA20" i="7"/>
  <c r="V20" i="7"/>
  <c r="AE20" i="7"/>
  <c r="X20" i="7"/>
  <c r="AC20" i="7"/>
  <c r="T21" i="7"/>
  <c r="AA21" i="7"/>
  <c r="V21" i="7"/>
  <c r="AE21" i="7"/>
  <c r="X21" i="7"/>
  <c r="AC21" i="7"/>
  <c r="B36" i="7"/>
  <c r="I15" i="7"/>
  <c r="X15" i="7"/>
  <c r="I17" i="7"/>
  <c r="T17" i="7"/>
  <c r="AA17" i="7"/>
  <c r="I18" i="7"/>
  <c r="V18" i="7"/>
  <c r="AE18" i="7"/>
  <c r="I16" i="7"/>
  <c r="V16" i="7"/>
  <c r="AE16" i="7"/>
  <c r="I14" i="7"/>
  <c r="X14" i="7"/>
  <c r="AC21" i="4"/>
  <c r="T21" i="4"/>
  <c r="AA21" i="4"/>
  <c r="A89" i="21"/>
  <c r="Z80" i="21"/>
  <c r="B79" i="21"/>
  <c r="Y72" i="21"/>
  <c r="P107" i="21"/>
  <c r="T72" i="21"/>
  <c r="T107" i="21"/>
  <c r="Y70" i="21"/>
  <c r="P106" i="21"/>
  <c r="T70" i="21"/>
  <c r="T106" i="21"/>
  <c r="Y68" i="21"/>
  <c r="P105" i="21"/>
  <c r="T68" i="21"/>
  <c r="T105" i="21"/>
  <c r="Y66" i="21"/>
  <c r="P104" i="21"/>
  <c r="T66" i="21"/>
  <c r="T104" i="21"/>
  <c r="W104" i="21"/>
  <c r="Y64" i="21"/>
  <c r="P103" i="21"/>
  <c r="T64" i="21"/>
  <c r="T103" i="21"/>
  <c r="W103" i="21"/>
  <c r="Y62" i="21"/>
  <c r="P102" i="21"/>
  <c r="T62" i="21"/>
  <c r="T102" i="21"/>
  <c r="W102" i="21"/>
  <c r="Y60" i="21"/>
  <c r="P101" i="21"/>
  <c r="T60" i="21"/>
  <c r="T101" i="21"/>
  <c r="W101" i="21"/>
  <c r="Y58" i="21"/>
  <c r="P100" i="21"/>
  <c r="T58" i="21"/>
  <c r="T100" i="21"/>
  <c r="W100" i="21"/>
  <c r="Y56" i="21"/>
  <c r="P99" i="21"/>
  <c r="T56" i="21"/>
  <c r="T99" i="21"/>
  <c r="W99" i="21"/>
  <c r="Y54" i="21"/>
  <c r="P98" i="21"/>
  <c r="T54" i="21"/>
  <c r="T98" i="21"/>
  <c r="W98" i="21"/>
  <c r="Y52" i="21"/>
  <c r="P97" i="21"/>
  <c r="T52" i="21"/>
  <c r="T97" i="21"/>
  <c r="W97" i="21"/>
  <c r="Y50" i="21"/>
  <c r="P96" i="21"/>
  <c r="T50" i="21"/>
  <c r="T96" i="21"/>
  <c r="Y48" i="21"/>
  <c r="P95" i="21"/>
  <c r="T48" i="21"/>
  <c r="T95" i="21"/>
  <c r="Y46" i="21"/>
  <c r="P94" i="21"/>
  <c r="T46" i="21"/>
  <c r="T94" i="21"/>
  <c r="W94" i="21"/>
  <c r="B38" i="21"/>
  <c r="S87" i="21"/>
  <c r="L87" i="21"/>
  <c r="L61" i="7"/>
  <c r="L60" i="7"/>
  <c r="A55" i="7"/>
  <c r="Z47" i="7"/>
  <c r="Z46" i="7"/>
  <c r="B45" i="7"/>
  <c r="Y38" i="7"/>
  <c r="P61" i="7"/>
  <c r="T38" i="7"/>
  <c r="C38" i="7"/>
  <c r="I61" i="7"/>
  <c r="B38" i="7"/>
  <c r="B61" i="7"/>
  <c r="Y36" i="7"/>
  <c r="P60" i="7"/>
  <c r="T36" i="7"/>
  <c r="C36" i="7"/>
  <c r="I60" i="7"/>
  <c r="B60" i="7"/>
  <c r="B28" i="7"/>
  <c r="AC18" i="7"/>
  <c r="X18" i="7"/>
  <c r="T18" i="7"/>
  <c r="AA18" i="7"/>
  <c r="AC17" i="7"/>
  <c r="AC16" i="7"/>
  <c r="X16" i="7"/>
  <c r="AC15" i="7"/>
  <c r="T15" i="7"/>
  <c r="AA15" i="7"/>
  <c r="AC14" i="7"/>
  <c r="V14" i="7"/>
  <c r="AE14" i="7"/>
  <c r="AE22" i="7"/>
  <c r="AE63" i="7"/>
  <c r="T14" i="7"/>
  <c r="AA14" i="7"/>
  <c r="Q4" i="7"/>
  <c r="S53" i="7"/>
  <c r="I4" i="7"/>
  <c r="A76" i="4"/>
  <c r="Z67" i="4"/>
  <c r="B66" i="4"/>
  <c r="P84" i="4"/>
  <c r="T84" i="4"/>
  <c r="W84" i="4"/>
  <c r="P82" i="4"/>
  <c r="T82" i="4"/>
  <c r="W82" i="4"/>
  <c r="I82" i="4"/>
  <c r="P81" i="4"/>
  <c r="T81" i="4"/>
  <c r="W81" i="4"/>
  <c r="B29" i="4"/>
  <c r="AC22" i="4"/>
  <c r="X22" i="4"/>
  <c r="V22" i="4"/>
  <c r="AE22" i="4"/>
  <c r="T22" i="4"/>
  <c r="AA22" i="4"/>
  <c r="AC20" i="4"/>
  <c r="X20" i="4"/>
  <c r="V20" i="4"/>
  <c r="AE20" i="4"/>
  <c r="AC14" i="4"/>
  <c r="X14" i="4"/>
  <c r="V14" i="4"/>
  <c r="AE14" i="4"/>
  <c r="AE23" i="4"/>
  <c r="AE94" i="4"/>
  <c r="AA14" i="4"/>
  <c r="L74" i="4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A89" i="3"/>
  <c r="Z81" i="3"/>
  <c r="Z80" i="3"/>
  <c r="B79" i="3"/>
  <c r="Y72" i="3"/>
  <c r="P107" i="3"/>
  <c r="T72" i="3"/>
  <c r="C72" i="3"/>
  <c r="I107" i="3"/>
  <c r="B72" i="3"/>
  <c r="B107" i="3"/>
  <c r="Y70" i="3"/>
  <c r="P106" i="3"/>
  <c r="T70" i="3"/>
  <c r="T106" i="3"/>
  <c r="W106" i="3"/>
  <c r="C70" i="3"/>
  <c r="I106" i="3"/>
  <c r="B70" i="3"/>
  <c r="B106" i="3"/>
  <c r="Y68" i="3"/>
  <c r="P105" i="3"/>
  <c r="T68" i="3"/>
  <c r="C68" i="3"/>
  <c r="I105" i="3"/>
  <c r="B68" i="3"/>
  <c r="B105" i="3"/>
  <c r="Y66" i="3"/>
  <c r="P104" i="3"/>
  <c r="T66" i="3"/>
  <c r="T104" i="3"/>
  <c r="C66" i="3"/>
  <c r="I104" i="3"/>
  <c r="B66" i="3"/>
  <c r="B104" i="3"/>
  <c r="Y64" i="3"/>
  <c r="P103" i="3"/>
  <c r="T64" i="3"/>
  <c r="C64" i="3"/>
  <c r="I103" i="3"/>
  <c r="B64" i="3"/>
  <c r="B103" i="3"/>
  <c r="Y62" i="3"/>
  <c r="T62" i="3"/>
  <c r="T102" i="3"/>
  <c r="W102" i="3"/>
  <c r="C62" i="3"/>
  <c r="I102" i="3"/>
  <c r="B62" i="3"/>
  <c r="B102" i="3"/>
  <c r="Y60" i="3"/>
  <c r="P101" i="3"/>
  <c r="T60" i="3"/>
  <c r="C60" i="3"/>
  <c r="I101" i="3"/>
  <c r="B60" i="3"/>
  <c r="B101" i="3"/>
  <c r="Y58" i="3"/>
  <c r="P100" i="3"/>
  <c r="T58" i="3"/>
  <c r="T100" i="3"/>
  <c r="W100" i="3"/>
  <c r="C58" i="3"/>
  <c r="I100" i="3"/>
  <c r="B58" i="3"/>
  <c r="B100" i="3"/>
  <c r="Y56" i="3"/>
  <c r="P99" i="3"/>
  <c r="T56" i="3"/>
  <c r="C56" i="3"/>
  <c r="I99" i="3"/>
  <c r="B56" i="3"/>
  <c r="B99" i="3"/>
  <c r="Y54" i="3"/>
  <c r="P98" i="3"/>
  <c r="T54" i="3"/>
  <c r="T98" i="3"/>
  <c r="W98" i="3"/>
  <c r="C54" i="3"/>
  <c r="I98" i="3"/>
  <c r="B54" i="3"/>
  <c r="B98" i="3"/>
  <c r="Y52" i="3"/>
  <c r="P97" i="3"/>
  <c r="T52" i="3"/>
  <c r="C52" i="3"/>
  <c r="I97" i="3"/>
  <c r="B52" i="3"/>
  <c r="B97" i="3"/>
  <c r="Y50" i="3"/>
  <c r="P96" i="3"/>
  <c r="T50" i="3"/>
  <c r="T96" i="3"/>
  <c r="W96" i="3"/>
  <c r="C50" i="3"/>
  <c r="I96" i="3"/>
  <c r="B50" i="3"/>
  <c r="B96" i="3"/>
  <c r="Y48" i="3"/>
  <c r="P95" i="3"/>
  <c r="T48" i="3"/>
  <c r="C48" i="3"/>
  <c r="I95" i="3"/>
  <c r="B48" i="3"/>
  <c r="B95" i="3"/>
  <c r="Y46" i="3"/>
  <c r="P94" i="3"/>
  <c r="T46" i="3"/>
  <c r="T94" i="3"/>
  <c r="W94" i="3"/>
  <c r="C46" i="3"/>
  <c r="I94" i="3"/>
  <c r="B46" i="3"/>
  <c r="B94" i="3"/>
  <c r="B38" i="3"/>
  <c r="AC31" i="3"/>
  <c r="X31" i="3"/>
  <c r="V31" i="3"/>
  <c r="AE31" i="3"/>
  <c r="T31" i="3"/>
  <c r="AA31" i="3"/>
  <c r="AC30" i="3"/>
  <c r="X30" i="3"/>
  <c r="V30" i="3"/>
  <c r="AE30" i="3"/>
  <c r="T30" i="3"/>
  <c r="AA30" i="3"/>
  <c r="AC29" i="3"/>
  <c r="X29" i="3"/>
  <c r="V29" i="3"/>
  <c r="AE29" i="3"/>
  <c r="T29" i="3"/>
  <c r="AA29" i="3"/>
  <c r="AC28" i="3"/>
  <c r="X28" i="3"/>
  <c r="V28" i="3"/>
  <c r="AE28" i="3"/>
  <c r="T28" i="3"/>
  <c r="AA28" i="3"/>
  <c r="AC27" i="3"/>
  <c r="X27" i="3"/>
  <c r="V27" i="3"/>
  <c r="AE27" i="3"/>
  <c r="T27" i="3"/>
  <c r="AA27" i="3"/>
  <c r="AC26" i="3"/>
  <c r="X26" i="3"/>
  <c r="V26" i="3"/>
  <c r="AE26" i="3"/>
  <c r="T26" i="3"/>
  <c r="AA26" i="3"/>
  <c r="AC25" i="3"/>
  <c r="X25" i="3"/>
  <c r="V25" i="3"/>
  <c r="AE25" i="3"/>
  <c r="T25" i="3"/>
  <c r="AA25" i="3"/>
  <c r="AC24" i="3"/>
  <c r="X24" i="3"/>
  <c r="V24" i="3"/>
  <c r="AE24" i="3"/>
  <c r="T24" i="3"/>
  <c r="AA24" i="3"/>
  <c r="AC23" i="3"/>
  <c r="X23" i="3"/>
  <c r="V23" i="3"/>
  <c r="AE23" i="3"/>
  <c r="T23" i="3"/>
  <c r="AA23" i="3"/>
  <c r="AC22" i="3"/>
  <c r="X22" i="3"/>
  <c r="V22" i="3"/>
  <c r="AE22" i="3"/>
  <c r="T22" i="3"/>
  <c r="AA22" i="3"/>
  <c r="AC21" i="3"/>
  <c r="X21" i="3"/>
  <c r="V21" i="3"/>
  <c r="AE21" i="3"/>
  <c r="T21" i="3"/>
  <c r="AA21" i="3"/>
  <c r="AC20" i="3"/>
  <c r="X20" i="3"/>
  <c r="V20" i="3"/>
  <c r="AE20" i="3"/>
  <c r="T20" i="3"/>
  <c r="AA20" i="3"/>
  <c r="AC19" i="3"/>
  <c r="X19" i="3"/>
  <c r="V19" i="3"/>
  <c r="AE19" i="3"/>
  <c r="T19" i="3"/>
  <c r="AA19" i="3"/>
  <c r="AC18" i="3"/>
  <c r="X18" i="3"/>
  <c r="V18" i="3"/>
  <c r="AE18" i="3"/>
  <c r="T18" i="3"/>
  <c r="AA18" i="3"/>
  <c r="AC17" i="3"/>
  <c r="X17" i="3"/>
  <c r="V17" i="3"/>
  <c r="AE17" i="3"/>
  <c r="T17" i="3"/>
  <c r="AA17" i="3"/>
  <c r="AC16" i="3"/>
  <c r="X16" i="3"/>
  <c r="V16" i="3"/>
  <c r="AE16" i="3"/>
  <c r="T16" i="3"/>
  <c r="AA16" i="3"/>
  <c r="AC15" i="3"/>
  <c r="X15" i="3"/>
  <c r="V15" i="3"/>
  <c r="AE15" i="3"/>
  <c r="T15" i="3"/>
  <c r="AA15" i="3"/>
  <c r="AC14" i="3"/>
  <c r="X14" i="3"/>
  <c r="V14" i="3"/>
  <c r="AE14" i="3"/>
  <c r="AE32" i="3"/>
  <c r="AE109" i="3"/>
  <c r="T14" i="3"/>
  <c r="AA14" i="3"/>
  <c r="Q4" i="3"/>
  <c r="S87" i="3"/>
  <c r="I4" i="3"/>
  <c r="L87" i="3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T70" i="2"/>
  <c r="T106" i="2"/>
  <c r="W106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T68" i="2"/>
  <c r="T105" i="2"/>
  <c r="W105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T66" i="2"/>
  <c r="T104" i="2"/>
  <c r="W104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T64" i="2"/>
  <c r="T103" i="2"/>
  <c r="W10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T62" i="2"/>
  <c r="T102" i="2"/>
  <c r="W102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T60" i="2"/>
  <c r="T101" i="2"/>
  <c r="W101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T58" i="2"/>
  <c r="T100" i="2"/>
  <c r="W100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T56" i="2"/>
  <c r="T99" i="2"/>
  <c r="W99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T54" i="2"/>
  <c r="T98" i="2"/>
  <c r="W98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T52" i="2"/>
  <c r="T97" i="2"/>
  <c r="W97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T50" i="2"/>
  <c r="T96" i="2"/>
  <c r="W96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T48" i="2"/>
  <c r="T95" i="2"/>
  <c r="W95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T46" i="2"/>
  <c r="AC31" i="2"/>
  <c r="X31" i="2"/>
  <c r="V31" i="2"/>
  <c r="AE31" i="2"/>
  <c r="T31" i="2"/>
  <c r="AA31" i="2"/>
  <c r="AC30" i="2"/>
  <c r="X30" i="2"/>
  <c r="V30" i="2"/>
  <c r="AE30" i="2"/>
  <c r="T30" i="2"/>
  <c r="AA30" i="2"/>
  <c r="AC29" i="2"/>
  <c r="X29" i="2"/>
  <c r="V29" i="2"/>
  <c r="AE29" i="2"/>
  <c r="T29" i="2"/>
  <c r="AA29" i="2"/>
  <c r="AC28" i="2"/>
  <c r="X28" i="2"/>
  <c r="V28" i="2"/>
  <c r="AE28" i="2"/>
  <c r="T28" i="2"/>
  <c r="AA28" i="2"/>
  <c r="AC27" i="2"/>
  <c r="X27" i="2"/>
  <c r="V27" i="2"/>
  <c r="AE27" i="2"/>
  <c r="T27" i="2"/>
  <c r="AA27" i="2"/>
  <c r="AC26" i="2"/>
  <c r="X26" i="2"/>
  <c r="V26" i="2"/>
  <c r="AE26" i="2"/>
  <c r="T26" i="2"/>
  <c r="AA26" i="2"/>
  <c r="AC25" i="2"/>
  <c r="X25" i="2"/>
  <c r="V25" i="2"/>
  <c r="AE25" i="2"/>
  <c r="T25" i="2"/>
  <c r="AA25" i="2"/>
  <c r="AC24" i="2"/>
  <c r="X24" i="2"/>
  <c r="V24" i="2"/>
  <c r="AE24" i="2"/>
  <c r="T24" i="2"/>
  <c r="AA24" i="2"/>
  <c r="AC23" i="2"/>
  <c r="X23" i="2"/>
  <c r="V23" i="2"/>
  <c r="AE23" i="2"/>
  <c r="T23" i="2"/>
  <c r="AA23" i="2"/>
  <c r="AC22" i="2"/>
  <c r="X22" i="2"/>
  <c r="V22" i="2"/>
  <c r="AE22" i="2"/>
  <c r="T22" i="2"/>
  <c r="AA22" i="2"/>
  <c r="AC21" i="2"/>
  <c r="X21" i="2"/>
  <c r="V21" i="2"/>
  <c r="AE21" i="2"/>
  <c r="T21" i="2"/>
  <c r="AA21" i="2"/>
  <c r="AC20" i="2"/>
  <c r="X20" i="2"/>
  <c r="V20" i="2"/>
  <c r="AE20" i="2"/>
  <c r="T20" i="2"/>
  <c r="AA20" i="2"/>
  <c r="AC19" i="2"/>
  <c r="X19" i="2"/>
  <c r="V19" i="2"/>
  <c r="AE19" i="2"/>
  <c r="T19" i="2"/>
  <c r="AA19" i="2"/>
  <c r="AC18" i="2"/>
  <c r="X18" i="2"/>
  <c r="V18" i="2"/>
  <c r="AE18" i="2"/>
  <c r="T18" i="2"/>
  <c r="AA18" i="2"/>
  <c r="AC17" i="2"/>
  <c r="X17" i="2"/>
  <c r="V17" i="2"/>
  <c r="AE17" i="2"/>
  <c r="T17" i="2"/>
  <c r="AA17" i="2"/>
  <c r="L87" i="2"/>
  <c r="I99" i="2"/>
  <c r="B99" i="2"/>
  <c r="B106" i="2"/>
  <c r="B104" i="2"/>
  <c r="AE82" i="2"/>
  <c r="L81" i="2"/>
  <c r="K37" i="2"/>
  <c r="G37" i="2"/>
  <c r="AF38" i="2"/>
  <c r="AD37" i="2"/>
  <c r="AD35" i="2"/>
  <c r="K35" i="2"/>
  <c r="G35" i="2"/>
  <c r="I103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B94" i="2"/>
  <c r="I94" i="2"/>
  <c r="B95" i="2"/>
  <c r="I95" i="2"/>
  <c r="B96" i="2"/>
  <c r="I96" i="2"/>
  <c r="B97" i="2"/>
  <c r="I97" i="2"/>
  <c r="B98" i="2"/>
  <c r="B100" i="2"/>
  <c r="I100" i="2"/>
  <c r="B101" i="2"/>
  <c r="I101" i="2"/>
  <c r="B102" i="2"/>
  <c r="I102" i="2"/>
  <c r="B103" i="2"/>
  <c r="I104" i="2"/>
  <c r="B105" i="2"/>
  <c r="I105" i="2"/>
  <c r="I106" i="2"/>
  <c r="B107" i="2"/>
  <c r="I107" i="2"/>
  <c r="S87" i="2"/>
  <c r="P42" i="2"/>
  <c r="T14" i="2"/>
  <c r="V14" i="2"/>
  <c r="AE14" i="2"/>
  <c r="X14" i="2"/>
  <c r="AA14" i="2"/>
  <c r="AC14" i="2"/>
  <c r="T15" i="2"/>
  <c r="V15" i="2"/>
  <c r="AE15" i="2"/>
  <c r="X15" i="2"/>
  <c r="AA15" i="2"/>
  <c r="AC15" i="2"/>
  <c r="T16" i="2"/>
  <c r="AA16" i="2"/>
  <c r="V16" i="2"/>
  <c r="AE16" i="2"/>
  <c r="X16" i="2"/>
  <c r="AC16" i="2"/>
  <c r="T32" i="2"/>
  <c r="V32" i="2"/>
  <c r="AE32" i="2"/>
  <c r="X32" i="2"/>
  <c r="AA32" i="2"/>
  <c r="AC32" i="2"/>
  <c r="J42" i="2"/>
  <c r="A89" i="2"/>
  <c r="Y74" i="2"/>
  <c r="W95" i="21"/>
  <c r="K34" i="21"/>
  <c r="K36" i="21"/>
  <c r="AF38" i="21"/>
  <c r="J42" i="21"/>
  <c r="P42" i="21"/>
  <c r="X46" i="21"/>
  <c r="AA46" i="21"/>
  <c r="X48" i="21"/>
  <c r="AA48" i="21"/>
  <c r="X50" i="21"/>
  <c r="AA50" i="21"/>
  <c r="X52" i="21"/>
  <c r="AA52" i="21"/>
  <c r="X54" i="21"/>
  <c r="AA54" i="21"/>
  <c r="AA56" i="21"/>
  <c r="X58" i="21"/>
  <c r="AA58" i="21"/>
  <c r="AA60" i="21"/>
  <c r="X62" i="21"/>
  <c r="AA62" i="21"/>
  <c r="X64" i="21"/>
  <c r="AA64" i="21"/>
  <c r="X66" i="21"/>
  <c r="X68" i="21"/>
  <c r="AA68" i="21"/>
  <c r="X70" i="21"/>
  <c r="AA70" i="21"/>
  <c r="X72" i="21"/>
  <c r="AA72" i="21"/>
  <c r="AE82" i="21"/>
  <c r="W96" i="21"/>
  <c r="W105" i="21"/>
  <c r="W106" i="21"/>
  <c r="W107" i="21"/>
  <c r="AD24" i="7"/>
  <c r="AD26" i="7"/>
  <c r="T40" i="7"/>
  <c r="AE48" i="7"/>
  <c r="AD25" i="4"/>
  <c r="K27" i="4"/>
  <c r="J33" i="4"/>
  <c r="P33" i="4"/>
  <c r="X39" i="4"/>
  <c r="L68" i="4"/>
  <c r="AE69" i="4"/>
  <c r="G34" i="3"/>
  <c r="K34" i="3"/>
  <c r="AC34" i="3"/>
  <c r="AD34" i="3"/>
  <c r="G36" i="3"/>
  <c r="K36" i="3"/>
  <c r="AC36" i="3"/>
  <c r="AD36" i="3"/>
  <c r="J42" i="3"/>
  <c r="X46" i="3"/>
  <c r="AA46" i="3"/>
  <c r="AA48" i="3"/>
  <c r="X50" i="3"/>
  <c r="AA50" i="3"/>
  <c r="AA52" i="3"/>
  <c r="X54" i="3"/>
  <c r="AA54" i="3"/>
  <c r="AA56" i="3"/>
  <c r="X58" i="3"/>
  <c r="AA58" i="3"/>
  <c r="AA60" i="3"/>
  <c r="X62" i="3"/>
  <c r="AA64" i="3"/>
  <c r="X66" i="3"/>
  <c r="AA66" i="3"/>
  <c r="AA68" i="3"/>
  <c r="X70" i="3"/>
  <c r="AA70" i="3"/>
  <c r="AA72" i="3"/>
  <c r="T74" i="3"/>
  <c r="L81" i="3"/>
  <c r="W104" i="3"/>
  <c r="AE82" i="3"/>
  <c r="P42" i="3"/>
  <c r="AF38" i="3"/>
  <c r="AC27" i="4"/>
  <c r="G27" i="4"/>
  <c r="AC25" i="4"/>
  <c r="G25" i="4"/>
  <c r="G36" i="21"/>
  <c r="Y40" i="7"/>
  <c r="AA38" i="7"/>
  <c r="AA36" i="7"/>
  <c r="P32" i="7"/>
  <c r="K26" i="7"/>
  <c r="K24" i="7"/>
  <c r="L47" i="7"/>
  <c r="AF28" i="7"/>
  <c r="AA41" i="4"/>
  <c r="AA20" i="4"/>
  <c r="T23" i="4"/>
  <c r="S74" i="4"/>
  <c r="AD27" i="4"/>
  <c r="K25" i="4"/>
  <c r="AF29" i="4"/>
  <c r="T61" i="7"/>
  <c r="W61" i="7"/>
  <c r="X38" i="7"/>
  <c r="T95" i="3"/>
  <c r="W95" i="3"/>
  <c r="X48" i="3"/>
  <c r="T97" i="3"/>
  <c r="W97" i="3"/>
  <c r="X52" i="3"/>
  <c r="T99" i="3"/>
  <c r="W99" i="3"/>
  <c r="X56" i="3"/>
  <c r="T101" i="3"/>
  <c r="W101" i="3"/>
  <c r="X60" i="3"/>
  <c r="T103" i="3"/>
  <c r="W103" i="3"/>
  <c r="X64" i="3"/>
  <c r="T105" i="3"/>
  <c r="W105" i="3"/>
  <c r="X68" i="3"/>
  <c r="T107" i="3"/>
  <c r="W107" i="3"/>
  <c r="X72" i="3"/>
  <c r="X41" i="4"/>
  <c r="AA39" i="4"/>
  <c r="T83" i="4"/>
  <c r="W83" i="4"/>
  <c r="X37" i="4"/>
  <c r="T88" i="4"/>
  <c r="W88" i="4"/>
  <c r="P90" i="4"/>
  <c r="P86" i="4"/>
  <c r="AA49" i="4"/>
  <c r="P87" i="4"/>
  <c r="T87" i="4"/>
  <c r="W87" i="4"/>
  <c r="X55" i="4"/>
  <c r="AG61" i="4"/>
  <c r="L81" i="21"/>
  <c r="AD36" i="21"/>
  <c r="AD34" i="21"/>
  <c r="X56" i="21"/>
  <c r="AE32" i="21"/>
  <c r="AE109" i="21"/>
  <c r="AC24" i="7"/>
  <c r="AC36" i="21"/>
  <c r="G26" i="7"/>
  <c r="J32" i="7"/>
  <c r="G34" i="21"/>
  <c r="AC26" i="7"/>
  <c r="AC34" i="21"/>
  <c r="X61" i="4"/>
  <c r="T60" i="7"/>
  <c r="W60" i="7"/>
  <c r="X36" i="7"/>
  <c r="X40" i="7"/>
  <c r="L53" i="7"/>
  <c r="G24" i="7"/>
  <c r="P102" i="3"/>
  <c r="AA62" i="3"/>
  <c r="Y74" i="3"/>
  <c r="W93" i="4"/>
  <c r="W108" i="3"/>
  <c r="AE33" i="2"/>
  <c r="AA104" i="3"/>
  <c r="AE104" i="3"/>
  <c r="AG66" i="3"/>
  <c r="AA105" i="3"/>
  <c r="AE105" i="3"/>
  <c r="AG68" i="3"/>
  <c r="AA97" i="3"/>
  <c r="AE97" i="3"/>
  <c r="AG52" i="3"/>
  <c r="AA102" i="3"/>
  <c r="AE102" i="3"/>
  <c r="AG62" i="3"/>
  <c r="AA99" i="3"/>
  <c r="AE99" i="3"/>
  <c r="AG56" i="3"/>
  <c r="AA107" i="3"/>
  <c r="AE107" i="3"/>
  <c r="AG72" i="3"/>
  <c r="AA96" i="3"/>
  <c r="AE96" i="3"/>
  <c r="AG50" i="3"/>
  <c r="AA95" i="3"/>
  <c r="AE95" i="3"/>
  <c r="AG48" i="3"/>
  <c r="AA106" i="3"/>
  <c r="AE106" i="3"/>
  <c r="AG70" i="3"/>
  <c r="AA103" i="3"/>
  <c r="AE103" i="3"/>
  <c r="AG64" i="3"/>
  <c r="AA94" i="3"/>
  <c r="AE94" i="3"/>
  <c r="AA101" i="3"/>
  <c r="AE101" i="3"/>
  <c r="AG60" i="3"/>
  <c r="AA98" i="3"/>
  <c r="AE98" i="3"/>
  <c r="AG54" i="3"/>
  <c r="AA100" i="3"/>
  <c r="AE100" i="3"/>
  <c r="AG58" i="3"/>
  <c r="AA85" i="4"/>
  <c r="AE85" i="4"/>
  <c r="AA90" i="4"/>
  <c r="AE90" i="4"/>
  <c r="AA81" i="4"/>
  <c r="AE81" i="4"/>
  <c r="AA86" i="4"/>
  <c r="AE86" i="4"/>
  <c r="AA88" i="4"/>
  <c r="AE88" i="4"/>
  <c r="AA87" i="4"/>
  <c r="AE87" i="4"/>
  <c r="AA82" i="4"/>
  <c r="AE82" i="4"/>
  <c r="AA89" i="4"/>
  <c r="AE89" i="4"/>
  <c r="AA83" i="4"/>
  <c r="AE83" i="4"/>
  <c r="AA84" i="4"/>
  <c r="AE84" i="4"/>
  <c r="T72" i="2"/>
  <c r="T107" i="2"/>
  <c r="W107" i="2"/>
  <c r="AE108" i="3"/>
  <c r="AG46" i="3"/>
  <c r="AG74" i="3"/>
  <c r="AE93" i="4"/>
  <c r="P83" i="4"/>
  <c r="AA61" i="4"/>
  <c r="AA40" i="7"/>
  <c r="AA74" i="3"/>
  <c r="W62" i="7"/>
  <c r="X74" i="3"/>
  <c r="W108" i="21"/>
  <c r="AA102" i="21"/>
  <c r="AE102" i="21"/>
  <c r="AG62" i="21"/>
  <c r="X60" i="21"/>
  <c r="X74" i="21"/>
  <c r="AA66" i="21"/>
  <c r="AA74" i="21"/>
  <c r="Y74" i="21"/>
  <c r="T74" i="21"/>
  <c r="AA99" i="21"/>
  <c r="AE99" i="21"/>
  <c r="AG56" i="21"/>
  <c r="AA103" i="21"/>
  <c r="AE103" i="21"/>
  <c r="AG64" i="21"/>
  <c r="AA98" i="21"/>
  <c r="AE98" i="21"/>
  <c r="AG54" i="21"/>
  <c r="AE109" i="2"/>
  <c r="AA100" i="21"/>
  <c r="AE100" i="21"/>
  <c r="AG58" i="21"/>
  <c r="AA101" i="21"/>
  <c r="AE101" i="21"/>
  <c r="AG60" i="21"/>
  <c r="AA105" i="21"/>
  <c r="AE105" i="21"/>
  <c r="AG68" i="21"/>
  <c r="AA106" i="21"/>
  <c r="AE106" i="21"/>
  <c r="AG70" i="21"/>
  <c r="AA104" i="21"/>
  <c r="AE104" i="21"/>
  <c r="AG66" i="21"/>
  <c r="AA97" i="21"/>
  <c r="AE97" i="21"/>
  <c r="AG52" i="21"/>
  <c r="AA95" i="21"/>
  <c r="AE95" i="21"/>
  <c r="AG48" i="21"/>
  <c r="AA107" i="21"/>
  <c r="AE107" i="21"/>
  <c r="AG72" i="21"/>
  <c r="AA94" i="21"/>
  <c r="AE94" i="21"/>
  <c r="AA96" i="21"/>
  <c r="AE96" i="21"/>
  <c r="AG50" i="21"/>
  <c r="V15" i="7"/>
  <c r="AE15" i="7"/>
  <c r="X17" i="7"/>
  <c r="V17" i="7"/>
  <c r="AE17" i="7"/>
  <c r="AA61" i="7"/>
  <c r="AE61" i="7"/>
  <c r="AG38" i="7"/>
  <c r="AA60" i="7"/>
  <c r="AE60" i="7"/>
  <c r="T16" i="7"/>
  <c r="AA16" i="7"/>
  <c r="T74" i="2"/>
  <c r="T94" i="2"/>
  <c r="W94" i="2"/>
  <c r="AG46" i="21"/>
  <c r="AG74" i="21"/>
  <c r="AE108" i="21"/>
  <c r="AE62" i="7"/>
  <c r="AG36" i="7"/>
  <c r="AG40" i="7"/>
  <c r="W108" i="2"/>
  <c r="AA101" i="2"/>
  <c r="AE101" i="2"/>
  <c r="AG60" i="2"/>
  <c r="AA97" i="2"/>
  <c r="AE97" i="2"/>
  <c r="AG52" i="2"/>
  <c r="AA103" i="2"/>
  <c r="AE103" i="2"/>
  <c r="AG64" i="2"/>
  <c r="AA95" i="2"/>
  <c r="AE95" i="2"/>
  <c r="AG48" i="2"/>
  <c r="AA102" i="2"/>
  <c r="AE102" i="2"/>
  <c r="AG62" i="2"/>
  <c r="AA105" i="2"/>
  <c r="AE105" i="2"/>
  <c r="AG68" i="2"/>
  <c r="AA107" i="2"/>
  <c r="AE107" i="2"/>
  <c r="AG72" i="2"/>
  <c r="AA98" i="2"/>
  <c r="AE98" i="2"/>
  <c r="AG54" i="2"/>
  <c r="AA106" i="2"/>
  <c r="AE106" i="2"/>
  <c r="AG70" i="2"/>
  <c r="AA96" i="2"/>
  <c r="AE96" i="2"/>
  <c r="AG50" i="2"/>
  <c r="AA100" i="2"/>
  <c r="AE100" i="2"/>
  <c r="AG58" i="2"/>
  <c r="AA94" i="2"/>
  <c r="AE94" i="2"/>
  <c r="AA104" i="2"/>
  <c r="AE104" i="2"/>
  <c r="AG66" i="2"/>
  <c r="AA99" i="2"/>
  <c r="AE99" i="2"/>
  <c r="AG56" i="2"/>
  <c r="AG46" i="2"/>
  <c r="AG74" i="2"/>
  <c r="AE108" i="2"/>
</calcChain>
</file>

<file path=xl/sharedStrings.xml><?xml version="1.0" encoding="utf-8"?>
<sst xmlns="http://schemas.openxmlformats.org/spreadsheetml/2006/main" count="601" uniqueCount="167">
  <si>
    <t>Миндорстрой РБ</t>
  </si>
  <si>
    <t>Начало работы</t>
  </si>
  <si>
    <t>по прямой сдельной системе оплаты труда</t>
  </si>
  <si>
    <t>Окончание работы</t>
  </si>
  <si>
    <r>
      <t xml:space="preserve">Бригада: </t>
    </r>
    <r>
      <rPr>
        <b/>
        <sz val="10"/>
        <rFont val="Arial Cyr"/>
        <charset val="204"/>
      </rPr>
      <t>Асфальтоукладка</t>
    </r>
  </si>
  <si>
    <t>Шифр работы</t>
  </si>
  <si>
    <t>Шифр машины</t>
  </si>
  <si>
    <t>Номер документа</t>
  </si>
  <si>
    <t>Шифр записи</t>
  </si>
  <si>
    <t>Часы работы</t>
  </si>
  <si>
    <t>часов</t>
  </si>
  <si>
    <t>дней</t>
  </si>
  <si>
    <t>Причитается</t>
  </si>
  <si>
    <t>х</t>
  </si>
  <si>
    <t>отработано урочно</t>
  </si>
  <si>
    <t>сдельно</t>
  </si>
  <si>
    <t>повремён</t>
  </si>
  <si>
    <t>сверурочно</t>
  </si>
  <si>
    <t>в простое</t>
  </si>
  <si>
    <t>всего</t>
  </si>
  <si>
    <t>повремённо</t>
  </si>
  <si>
    <t>заработная плата</t>
  </si>
  <si>
    <t>повременно</t>
  </si>
  <si>
    <t>доплаты</t>
  </si>
  <si>
    <t>всего к оплате</t>
  </si>
  <si>
    <t>Разряд</t>
  </si>
  <si>
    <t>Фамилия, И. О.</t>
  </si>
  <si>
    <t>Табельный №</t>
  </si>
  <si>
    <t>Итого</t>
  </si>
  <si>
    <t>Примечание:1. Часы простоя подтверждают сигнальными извещениями ф.з-д</t>
  </si>
  <si>
    <t>Сверхурочная работа подтверждается разрешением профсоюзного комитета в каждом отдельном случае</t>
  </si>
  <si>
    <t>Разряды, тарифные ставки, расчёты распределения заработной платы проверил:</t>
  </si>
  <si>
    <t>премия, руб. _____________________________________</t>
  </si>
  <si>
    <t>К выплате утверждаются:</t>
  </si>
  <si>
    <t>Наряд № _________________</t>
  </si>
  <si>
    <t>факт</t>
  </si>
  <si>
    <t>план</t>
  </si>
  <si>
    <t>Исполнено</t>
  </si>
  <si>
    <t>Задано</t>
  </si>
  <si>
    <t>на единицу</t>
  </si>
  <si>
    <t>на весь объём</t>
  </si>
  <si>
    <t>норма времени чел/час</t>
  </si>
  <si>
    <t>расценка</t>
  </si>
  <si>
    <t>Сумма зарплаты</t>
  </si>
  <si>
    <t>количество работ</t>
  </si>
  <si>
    <t>норма на выполненный объём, чел/час</t>
  </si>
  <si>
    <t>норма времени, чел/час</t>
  </si>
  <si>
    <t>сумма зарплаты</t>
  </si>
  <si>
    <t>шифр работы</t>
  </si>
  <si>
    <t>Ед. изм</t>
  </si>
  <si>
    <t>Шифр нормативного источника</t>
  </si>
  <si>
    <t>Описание работ и условий производства</t>
  </si>
  <si>
    <t>ИТОГО</t>
  </si>
  <si>
    <t>Лисай И. М.</t>
  </si>
  <si>
    <t>Сильванович А. С.</t>
  </si>
  <si>
    <t>Хилимончик Н. В.</t>
  </si>
  <si>
    <t>Масюкевич Ю. В.</t>
  </si>
  <si>
    <t>Расчёт</t>
  </si>
  <si>
    <r>
      <t xml:space="preserve">заработной платы </t>
    </r>
    <r>
      <rPr>
        <b/>
        <sz val="10"/>
        <rFont val="Arial Cyr"/>
        <charset val="204"/>
      </rPr>
      <t>Асфальтоукладка</t>
    </r>
  </si>
  <si>
    <t xml:space="preserve">№ п/п </t>
  </si>
  <si>
    <t>разряд</t>
  </si>
  <si>
    <t>тарифная ставка</t>
  </si>
  <si>
    <t>отработано дней</t>
  </si>
  <si>
    <t>отработано часов</t>
  </si>
  <si>
    <t>заработная плата по тарифу</t>
  </si>
  <si>
    <t>Сумма заработной платы</t>
  </si>
  <si>
    <t>начислено</t>
  </si>
  <si>
    <t>Работу принял с оценкой качества _______________________________________________</t>
  </si>
  <si>
    <t>Сумма заработной платы:</t>
  </si>
  <si>
    <r>
      <t xml:space="preserve">на </t>
    </r>
    <r>
      <rPr>
        <b/>
        <sz val="10"/>
        <rFont val="Arial Cyr"/>
        <charset val="204"/>
      </rPr>
      <t/>
    </r>
  </si>
  <si>
    <t xml:space="preserve">Табель расчёт </t>
  </si>
  <si>
    <t xml:space="preserve">за </t>
  </si>
  <si>
    <t>Объёмы проверил: ________________Мархоцкая С. К.</t>
  </si>
  <si>
    <t>КУП Гроднооблдорстрой</t>
  </si>
  <si>
    <t>ДРСУ № 161 г. Щучин</t>
  </si>
  <si>
    <t xml:space="preserve"> </t>
  </si>
  <si>
    <t>г.</t>
  </si>
  <si>
    <r>
      <t>Задание выдал прораб (</t>
    </r>
    <r>
      <rPr>
        <u/>
        <sz val="8"/>
        <rFont val="Arial Cyr"/>
        <charset val="204"/>
      </rPr>
      <t>мастер)</t>
    </r>
    <r>
      <rPr>
        <sz val="8"/>
        <rFont val="Arial Cyr"/>
        <charset val="204"/>
      </rPr>
      <t xml:space="preserve"> _______________</t>
    </r>
  </si>
  <si>
    <t>Задание принял бригадир ________________</t>
  </si>
  <si>
    <t>"____" =</t>
  </si>
  <si>
    <t>Работу сдал бригадир ______________________</t>
  </si>
  <si>
    <t>"____"</t>
  </si>
  <si>
    <r>
      <t>Прораб (</t>
    </r>
    <r>
      <rPr>
        <u/>
        <sz val="8"/>
        <rFont val="Arial Cyr"/>
        <charset val="204"/>
      </rPr>
      <t>мастер</t>
    </r>
    <r>
      <rPr>
        <sz val="8"/>
        <rFont val="Arial Cyr"/>
        <charset val="204"/>
      </rPr>
      <t>) ___________________</t>
    </r>
  </si>
  <si>
    <t xml:space="preserve">"___ " __________________ </t>
  </si>
  <si>
    <t>" ___ " _______________________</t>
  </si>
  <si>
    <t>рублей</t>
  </si>
  <si>
    <t>Сроки</t>
  </si>
  <si>
    <t>коэффициент</t>
  </si>
  <si>
    <t>Экономист Яцевич Н. Г.  ______________________________</t>
  </si>
  <si>
    <t xml:space="preserve">Нормы, расценки и сумма заработной платы проверил экономист: Яцевич Н. Г.  ____________________                    ________________________ " _____ " </t>
  </si>
  <si>
    <t>Будущие периоды</t>
  </si>
  <si>
    <t xml:space="preserve">Объект: </t>
  </si>
  <si>
    <r>
      <t xml:space="preserve">Табель вёл: (бригадир, прораб, </t>
    </r>
    <r>
      <rPr>
        <u/>
        <sz val="8"/>
        <rFont val="Arial Cyr"/>
        <charset val="204"/>
      </rPr>
      <t>ст.мастер</t>
    </r>
    <r>
      <rPr>
        <sz val="8"/>
        <rFont val="Arial Cyr"/>
        <charset val="204"/>
      </rPr>
      <t>) _________________________ О. Л. Титяк</t>
    </r>
  </si>
  <si>
    <r>
      <t xml:space="preserve">Прорабство: </t>
    </r>
    <r>
      <rPr>
        <b/>
        <sz val="10"/>
        <rFont val="Arial Cyr"/>
        <charset val="204"/>
      </rPr>
      <t>МУ-1 Асфальтоукладка</t>
    </r>
  </si>
  <si>
    <t>Сидорович А. П.</t>
  </si>
  <si>
    <t>Федюк В. В</t>
  </si>
  <si>
    <t>Масюкевич Ю В.</t>
  </si>
  <si>
    <t>Яхимчик И. Е.</t>
  </si>
  <si>
    <r>
      <t>Объект:</t>
    </r>
    <r>
      <rPr>
        <b/>
        <sz val="10"/>
        <color indexed="12"/>
        <rFont val="Arial Cyr"/>
        <charset val="204"/>
      </rPr>
      <t xml:space="preserve"> Содержание</t>
    </r>
  </si>
  <si>
    <t>Объект: Содержание</t>
  </si>
  <si>
    <t>01</t>
  </si>
  <si>
    <t>30</t>
  </si>
  <si>
    <t>1 км пробега</t>
  </si>
  <si>
    <t xml:space="preserve">Бригада: </t>
  </si>
  <si>
    <t>Е70-220-1</t>
  </si>
  <si>
    <t>Е70-220-2</t>
  </si>
  <si>
    <t>Е70-220-3</t>
  </si>
  <si>
    <t>Е70-220-4</t>
  </si>
  <si>
    <t>РЕМОНТНОЕ ПРОФИЛИРОВАНИЕ ГРАВИЙНЫХ ДОРОГ АВТОГРЕЙДЕРОМ СРЕДНЕГО ТИПА, ШИРИНА ПРОФИЛИРУЕМОЙ ДОРОГИ ДО 7 М</t>
  </si>
  <si>
    <t>1 км. спрофилированной дороги</t>
  </si>
  <si>
    <t>РЕМОНТНОЕ ПРОФИЛИРОВАНИЕ ГРАВИЙНЫХ ДОРОГ АВТОГРЕЙДЕРОМ СРЕДНЕГО ТИПА, ШИРИНА ПРОФИЛИРУЕМОЙ ДОРОГИ ДО 9 М</t>
  </si>
  <si>
    <t>РЕМОНТНОЕ ПРОФИЛИРОВАНИЕ ГРАВИЙНЫХ ДОРОГ АВТОГРЕЙДЕРОМ СРЕДНЕГО ТИПА, ШИРИНА ПРОФИЛИРУЕМОЙ ДОРОГИ ДО 11 М</t>
  </si>
  <si>
    <t>РЕМОНТНОЕ ПРОФИЛИРОВАНИЕ ГРУНТОВЫХ И УЛУЧШЕННЫХ ГРУНТОВЫХ ДОРОГ АВТОГРЕЙДЕРОМ СРЕДНЕГО ТИПА, ШИРИНА ПРОФИЛИРУЕМОЙ ДОРОГИ ДО 7 М</t>
  </si>
  <si>
    <t>ЕУ07-2-2</t>
  </si>
  <si>
    <t>ПРОБЕГ К МЕСТУ РАБОТЫ ИЛИ ПЕРЕЕЗД С ОДНОГО ОБЪЕКТА НА ДРУГОЙ ИЛИ К МЕСТУ БАЗИРОВАНИЯ АВТОГРЕЙДЕРА СРЕДНЕГО ТИПА ПРИ ДВИЖЕНИИ ПО АВТОМОБИЛЬНЫМ ДОРОГАМ I И II КАТЕГОРИЙ</t>
  </si>
  <si>
    <t>Стубеда В. Т.</t>
  </si>
  <si>
    <t>SDLG</t>
  </si>
  <si>
    <t>Автогрейдер</t>
  </si>
  <si>
    <r>
      <t xml:space="preserve">Прорабство: </t>
    </r>
    <r>
      <rPr>
        <b/>
        <sz val="10"/>
        <rFont val="Arial Cyr"/>
        <charset val="204"/>
      </rPr>
      <t>ПУ-3</t>
    </r>
  </si>
  <si>
    <r>
      <t xml:space="preserve">Бригада: </t>
    </r>
    <r>
      <rPr>
        <b/>
        <sz val="10"/>
        <rFont val="Arial Cyr"/>
        <charset val="204"/>
      </rPr>
      <t>ПУ-3</t>
    </r>
  </si>
  <si>
    <t>Васюк И.И.</t>
  </si>
  <si>
    <t>Белка В.И.</t>
  </si>
  <si>
    <t>Хитинов А.А.</t>
  </si>
  <si>
    <t>Лисай И.М.</t>
  </si>
  <si>
    <t>Биндей С.Ф.</t>
  </si>
  <si>
    <t>Масюкевич Ю.В.</t>
  </si>
  <si>
    <t>Пацук В.И.</t>
  </si>
  <si>
    <t>Богдан П.Г.</t>
  </si>
  <si>
    <t>Симанчик А.А.</t>
  </si>
  <si>
    <t>Широкий О.Р.</t>
  </si>
  <si>
    <r>
      <t xml:space="preserve">Табель вёл: (бригадир, прораб, </t>
    </r>
    <r>
      <rPr>
        <u/>
        <sz val="8"/>
        <rFont val="Arial Cyr"/>
        <charset val="204"/>
      </rPr>
      <t>ст.мастер</t>
    </r>
    <r>
      <rPr>
        <sz val="8"/>
        <rFont val="Arial Cyr"/>
        <charset val="204"/>
      </rPr>
      <t>) _________________________ П.В. Голец</t>
    </r>
  </si>
  <si>
    <t xml:space="preserve">Мастер _____________________________ П.В. Голец  </t>
  </si>
  <si>
    <t>ТЕ01-40-1</t>
  </si>
  <si>
    <t>Обрезка крон деревьев высоторезом</t>
  </si>
  <si>
    <t>100 крон</t>
  </si>
  <si>
    <t>1 знак</t>
  </si>
  <si>
    <t>1 шт</t>
  </si>
  <si>
    <t>Объёмы проверил: ________________</t>
  </si>
  <si>
    <t>ч\ч</t>
  </si>
  <si>
    <t>Отработана по часовой</t>
  </si>
  <si>
    <t>Объект:Бол.Можейкова - Ищелно</t>
  </si>
  <si>
    <t>Июль</t>
  </si>
  <si>
    <t>Установка дорожных знаков в грунтах</t>
  </si>
  <si>
    <t>10 ст.</t>
  </si>
  <si>
    <t>Окраска стоек дорожных знаков</t>
  </si>
  <si>
    <t>ТЕ 04 -5-3 КСУ = 1,15</t>
  </si>
  <si>
    <t>100 шт</t>
  </si>
  <si>
    <t>Е70-230-1 Нвсего=0,8 Нзтр = 1,15 Нэкспл = 1,15</t>
  </si>
  <si>
    <t>Е70-50-1 Нвсего = 0,8 Нзтр = 1,15 Нэкспл = 1,15</t>
  </si>
  <si>
    <t>Демонтпж щитков дор. Знаков</t>
  </si>
  <si>
    <t>Е51-7-1</t>
  </si>
  <si>
    <t>Е51-7-4</t>
  </si>
  <si>
    <t>Погрузка в ручную сподручных и навальных грузов</t>
  </si>
  <si>
    <t>тн</t>
  </si>
  <si>
    <t>Выгрузка в ручную сподручных и навальных грузов</t>
  </si>
  <si>
    <t>Демонтаж одностороних  дорожных знаков на одной стойке</t>
  </si>
  <si>
    <t>Кособуцкий О.Я.</t>
  </si>
  <si>
    <t>Лисай И.М,</t>
  </si>
  <si>
    <t>Е70-48-10 Нзтр = 1.15 Нэкспл = 1,15</t>
  </si>
  <si>
    <t>Прорабство: ПУ-3</t>
  </si>
  <si>
    <t>Объект:  Содержание</t>
  </si>
  <si>
    <r>
      <t xml:space="preserve">Табель вёл: (бригадир, прораб, </t>
    </r>
    <r>
      <rPr>
        <u/>
        <sz val="8"/>
        <rFont val="Arial Cyr"/>
        <charset val="204"/>
      </rPr>
      <t>мастер</t>
    </r>
    <r>
      <rPr>
        <sz val="8"/>
        <rFont val="Arial Cyr"/>
        <charset val="204"/>
      </rPr>
      <t>) _________________________ Голец П.В.</t>
    </r>
  </si>
  <si>
    <t>Нач ДРСУ 161 _______________ Залога Г.Ч.</t>
  </si>
  <si>
    <t xml:space="preserve"> мастер __________________Голец П.В.</t>
  </si>
  <si>
    <t xml:space="preserve">Прорабство: </t>
  </si>
  <si>
    <t xml:space="preserve">заработной платы </t>
  </si>
  <si>
    <t>Серко И.И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</si>
</sst>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_-* #,##0.00_р_._-;\-* #,##0.00_р_._-;_-* &quot;-&quot;??_р_._-;_-@_-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6"/>
      <name val="Arial Cyr"/>
      <charset val="204"/>
    </font>
    <font>
      <sz val="7"/>
      <name val="Arial Cyr"/>
      <charset val="204"/>
    </font>
    <font>
      <u/>
      <sz val="8"/>
      <name val="Arial Cyr"/>
      <charset val="204"/>
    </font>
    <font>
      <b/>
      <sz val="8"/>
      <name val="Arial Cyr"/>
      <charset val="204"/>
    </font>
    <font>
      <b/>
      <sz val="10"/>
      <name val="Arial Black"/>
      <family val="2"/>
      <charset val="204"/>
    </font>
    <font>
      <sz val="10"/>
      <color indexed="12"/>
      <name val="Arial Cyr"/>
      <charset val="204"/>
    </font>
    <font>
      <b/>
      <sz val="10"/>
      <color indexed="12"/>
      <name val="Arial Cyr"/>
      <charset val="204"/>
    </font>
    <font>
      <sz val="8"/>
      <color indexed="12"/>
      <name val="Arial Cyr"/>
      <charset val="204"/>
    </font>
    <font>
      <sz val="10"/>
      <color indexed="20"/>
      <name val="Arial Cyr"/>
      <charset val="204"/>
    </font>
    <font>
      <sz val="8"/>
      <color indexed="20"/>
      <name val="Arial Cyr"/>
      <charset val="204"/>
    </font>
    <font>
      <sz val="10"/>
      <name val="Arial Cyr"/>
      <charset val="204"/>
    </font>
    <font>
      <sz val="10"/>
      <color theme="0"/>
      <name val="Arial Cyr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sz val="8"/>
      <color theme="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179" fontId="14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protection hidden="1"/>
    </xf>
    <xf numFmtId="0" fontId="0" fillId="0" borderId="1" xfId="0" applyBorder="1" applyProtection="1">
      <protection hidden="1"/>
    </xf>
    <xf numFmtId="179" fontId="1" fillId="0" borderId="0" xfId="1" applyProtection="1">
      <protection hidden="1"/>
    </xf>
    <xf numFmtId="0" fontId="0" fillId="0" borderId="0" xfId="0" applyBorder="1" applyAlignment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protection hidden="1"/>
    </xf>
    <xf numFmtId="0" fontId="2" fillId="0" borderId="1" xfId="0" applyFont="1" applyBorder="1" applyProtection="1">
      <protection hidden="1"/>
    </xf>
    <xf numFmtId="0" fontId="2" fillId="0" borderId="1" xfId="0" applyFont="1" applyFill="1" applyBorder="1" applyProtection="1">
      <protection hidden="1"/>
    </xf>
    <xf numFmtId="0" fontId="4" fillId="0" borderId="1" xfId="0" applyFont="1" applyBorder="1" applyAlignment="1" applyProtection="1">
      <alignment horizontal="center" wrapText="1"/>
      <protection hidden="1"/>
    </xf>
    <xf numFmtId="0" fontId="4" fillId="0" borderId="1" xfId="0" applyFont="1" applyBorder="1" applyAlignment="1" applyProtection="1">
      <alignment wrapText="1"/>
      <protection hidden="1"/>
    </xf>
    <xf numFmtId="0" fontId="4" fillId="0" borderId="1" xfId="0" applyFont="1" applyBorder="1" applyAlignment="1" applyProtection="1">
      <alignment vertical="justify" wrapText="1"/>
      <protection hidden="1"/>
    </xf>
    <xf numFmtId="0" fontId="13" fillId="0" borderId="1" xfId="0" applyFont="1" applyFill="1" applyBorder="1" applyProtection="1">
      <protection hidden="1"/>
    </xf>
    <xf numFmtId="0" fontId="5" fillId="0" borderId="1" xfId="0" applyFont="1" applyBorder="1" applyProtection="1">
      <protection hidden="1"/>
    </xf>
    <xf numFmtId="0" fontId="12" fillId="0" borderId="1" xfId="0" applyFont="1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12" fillId="0" borderId="0" xfId="0" applyFont="1" applyBorder="1" applyProtection="1">
      <protection hidden="1"/>
    </xf>
    <xf numFmtId="0" fontId="13" fillId="0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 wrapText="1"/>
      <protection hidden="1"/>
    </xf>
    <xf numFmtId="2" fontId="0" fillId="0" borderId="1" xfId="0" applyNumberFormat="1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wrapText="1"/>
      <protection hidden="1"/>
    </xf>
    <xf numFmtId="0" fontId="2" fillId="0" borderId="2" xfId="0" applyFont="1" applyBorder="1" applyAlignment="1" applyProtection="1">
      <alignment horizontal="center" wrapText="1"/>
      <protection locked="0"/>
    </xf>
    <xf numFmtId="0" fontId="5" fillId="0" borderId="1" xfId="0" applyFont="1" applyFill="1" applyBorder="1" applyAlignment="1">
      <alignment horizontal="center" wrapText="1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5" fillId="0" borderId="0" xfId="0" applyFont="1" applyAlignment="1" applyProtection="1">
      <protection hidden="1"/>
    </xf>
    <xf numFmtId="0" fontId="5" fillId="0" borderId="1" xfId="0" applyFont="1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15" fillId="0" borderId="2" xfId="0" applyFont="1" applyBorder="1" applyAlignment="1" applyProtection="1">
      <alignment horizont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6" fillId="0" borderId="2" xfId="0" applyFont="1" applyBorder="1" applyAlignment="1" applyProtection="1">
      <alignment horizontal="center"/>
      <protection hidden="1"/>
    </xf>
    <xf numFmtId="0" fontId="17" fillId="0" borderId="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vertical="justify"/>
      <protection hidden="1"/>
    </xf>
    <xf numFmtId="0" fontId="0" fillId="0" borderId="0" xfId="0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center" wrapText="1"/>
      <protection hidden="1"/>
    </xf>
    <xf numFmtId="0" fontId="4" fillId="0" borderId="8" xfId="0" applyFont="1" applyBorder="1" applyAlignment="1" applyProtection="1">
      <alignment horizontal="center" wrapText="1"/>
      <protection hidden="1"/>
    </xf>
    <xf numFmtId="0" fontId="4" fillId="0" borderId="7" xfId="0" applyFont="1" applyBorder="1" applyAlignment="1" applyProtection="1">
      <alignment horizontal="center" wrapText="1"/>
      <protection hidden="1"/>
    </xf>
    <xf numFmtId="0" fontId="4" fillId="0" borderId="10" xfId="0" applyFont="1" applyBorder="1" applyAlignment="1" applyProtection="1">
      <alignment horizontal="center" wrapText="1"/>
      <protection hidden="1"/>
    </xf>
    <xf numFmtId="0" fontId="4" fillId="0" borderId="15" xfId="0" applyFont="1" applyBorder="1" applyAlignment="1" applyProtection="1">
      <alignment horizontal="center" wrapText="1"/>
      <protection hidden="1"/>
    </xf>
    <xf numFmtId="0" fontId="4" fillId="0" borderId="12" xfId="0" applyFont="1" applyBorder="1" applyAlignment="1" applyProtection="1">
      <alignment horizont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5" xfId="0" applyBorder="1" applyAlignment="1" applyProtection="1">
      <alignment horizontal="right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left" vertical="justify" wrapText="1"/>
      <protection locked="0"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2" fontId="0" fillId="0" borderId="4" xfId="0" applyNumberFormat="1" applyBorder="1" applyAlignment="1" applyProtection="1">
      <alignment horizontal="center"/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2" fontId="0" fillId="0" borderId="6" xfId="0" applyNumberFormat="1" applyBorder="1" applyAlignment="1" applyProtection="1">
      <alignment horizontal="center"/>
      <protection hidden="1"/>
    </xf>
    <xf numFmtId="2" fontId="0" fillId="0" borderId="8" xfId="0" applyNumberFormat="1" applyBorder="1" applyAlignment="1" applyProtection="1">
      <alignment horizontal="center"/>
      <protection hidden="1"/>
    </xf>
    <xf numFmtId="2" fontId="0" fillId="0" borderId="7" xfId="0" applyNumberFormat="1" applyBorder="1" applyAlignment="1" applyProtection="1">
      <alignment horizontal="center"/>
      <protection hidden="1"/>
    </xf>
    <xf numFmtId="2" fontId="0" fillId="0" borderId="10" xfId="0" applyNumberFormat="1" applyBorder="1" applyAlignment="1" applyProtection="1">
      <alignment horizontal="center"/>
      <protection hidden="1"/>
    </xf>
    <xf numFmtId="2" fontId="0" fillId="0" borderId="15" xfId="0" applyNumberFormat="1" applyBorder="1" applyAlignment="1" applyProtection="1">
      <alignment horizontal="center"/>
      <protection hidden="1"/>
    </xf>
    <xf numFmtId="2" fontId="0" fillId="0" borderId="12" xfId="0" applyNumberFormat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justify"/>
      <protection hidden="1"/>
    </xf>
    <xf numFmtId="0" fontId="0" fillId="0" borderId="8" xfId="0" applyBorder="1" applyAlignment="1" applyProtection="1">
      <alignment horizontal="center" vertical="justify"/>
      <protection hidden="1"/>
    </xf>
    <xf numFmtId="0" fontId="0" fillId="0" borderId="7" xfId="0" applyBorder="1" applyAlignment="1" applyProtection="1">
      <alignment horizontal="center" vertical="justify"/>
      <protection hidden="1"/>
    </xf>
    <xf numFmtId="0" fontId="0" fillId="0" borderId="13" xfId="0" applyBorder="1" applyAlignment="1" applyProtection="1">
      <alignment horizontal="center" vertical="justify"/>
      <protection hidden="1"/>
    </xf>
    <xf numFmtId="0" fontId="0" fillId="0" borderId="0" xfId="0" applyBorder="1" applyAlignment="1" applyProtection="1">
      <alignment horizontal="center" vertical="justify"/>
      <protection hidden="1"/>
    </xf>
    <xf numFmtId="0" fontId="0" fillId="0" borderId="14" xfId="0" applyBorder="1" applyAlignment="1" applyProtection="1">
      <alignment horizontal="center" vertical="justify"/>
      <protection hidden="1"/>
    </xf>
    <xf numFmtId="0" fontId="0" fillId="0" borderId="10" xfId="0" applyBorder="1" applyAlignment="1" applyProtection="1">
      <alignment horizontal="center" vertical="justify"/>
      <protection hidden="1"/>
    </xf>
    <xf numFmtId="0" fontId="0" fillId="0" borderId="15" xfId="0" applyBorder="1" applyAlignment="1" applyProtection="1">
      <alignment horizontal="center" vertical="justify"/>
      <protection hidden="1"/>
    </xf>
    <xf numFmtId="0" fontId="0" fillId="0" borderId="12" xfId="0" applyBorder="1" applyAlignment="1" applyProtection="1">
      <alignment horizontal="center" vertical="justify"/>
      <protection hidden="1"/>
    </xf>
    <xf numFmtId="0" fontId="0" fillId="0" borderId="6" xfId="0" applyBorder="1" applyAlignment="1" applyProtection="1">
      <alignment horizontal="center" vertical="justify" wrapText="1"/>
      <protection hidden="1"/>
    </xf>
    <xf numFmtId="0" fontId="0" fillId="0" borderId="8" xfId="0" applyBorder="1" applyAlignment="1" applyProtection="1">
      <alignment horizontal="center" vertical="justify" wrapText="1"/>
      <protection hidden="1"/>
    </xf>
    <xf numFmtId="0" fontId="0" fillId="0" borderId="7" xfId="0" applyBorder="1" applyAlignment="1" applyProtection="1">
      <alignment horizontal="center" vertical="justify" wrapText="1"/>
      <protection hidden="1"/>
    </xf>
    <xf numFmtId="0" fontId="0" fillId="0" borderId="13" xfId="0" applyBorder="1" applyAlignment="1" applyProtection="1">
      <alignment horizontal="center" vertical="justify" wrapText="1"/>
      <protection hidden="1"/>
    </xf>
    <xf numFmtId="0" fontId="0" fillId="0" borderId="0" xfId="0" applyBorder="1" applyAlignment="1" applyProtection="1">
      <alignment horizontal="center" vertical="justify" wrapText="1"/>
      <protection hidden="1"/>
    </xf>
    <xf numFmtId="0" fontId="0" fillId="0" borderId="14" xfId="0" applyBorder="1" applyAlignment="1" applyProtection="1">
      <alignment horizontal="center" vertical="justify" wrapText="1"/>
      <protection hidden="1"/>
    </xf>
    <xf numFmtId="0" fontId="0" fillId="0" borderId="10" xfId="0" applyBorder="1" applyAlignment="1" applyProtection="1">
      <alignment horizontal="center" vertical="justify" wrapText="1"/>
      <protection hidden="1"/>
    </xf>
    <xf numFmtId="0" fontId="0" fillId="0" borderId="15" xfId="0" applyBorder="1" applyAlignment="1" applyProtection="1">
      <alignment horizontal="center" vertical="justify" wrapText="1"/>
      <protection hidden="1"/>
    </xf>
    <xf numFmtId="0" fontId="0" fillId="0" borderId="12" xfId="0" applyBorder="1" applyAlignment="1" applyProtection="1">
      <alignment horizontal="center" vertical="justify" wrapText="1"/>
      <protection hidden="1"/>
    </xf>
    <xf numFmtId="0" fontId="0" fillId="0" borderId="2" xfId="0" applyBorder="1" applyAlignment="1" applyProtection="1">
      <alignment horizontal="center" vertical="justify"/>
      <protection hidden="1"/>
    </xf>
    <xf numFmtId="0" fontId="0" fillId="0" borderId="11" xfId="0" applyBorder="1" applyAlignment="1" applyProtection="1">
      <alignment horizontal="center" vertical="justify"/>
      <protection hidden="1"/>
    </xf>
    <xf numFmtId="0" fontId="0" fillId="0" borderId="9" xfId="0" applyBorder="1" applyAlignment="1" applyProtection="1">
      <alignment horizontal="center" vertical="justify"/>
      <protection hidden="1"/>
    </xf>
    <xf numFmtId="2" fontId="0" fillId="0" borderId="2" xfId="0" applyNumberFormat="1" applyBorder="1" applyAlignment="1" applyProtection="1">
      <alignment horizontal="center"/>
      <protection hidden="1"/>
    </xf>
    <xf numFmtId="2" fontId="0" fillId="0" borderId="9" xfId="0" applyNumberForma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2" fontId="7" fillId="0" borderId="10" xfId="0" applyNumberFormat="1" applyFont="1" applyBorder="1" applyAlignment="1" applyProtection="1">
      <alignment horizontal="center"/>
      <protection hidden="1"/>
    </xf>
    <xf numFmtId="2" fontId="7" fillId="0" borderId="12" xfId="0" applyNumberFormat="1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left" vertical="center" wrapText="1"/>
      <protection hidden="1"/>
    </xf>
    <xf numFmtId="0" fontId="2" fillId="0" borderId="5" xfId="0" applyFont="1" applyBorder="1" applyAlignment="1" applyProtection="1">
      <alignment horizontal="left" vertical="center" wrapText="1"/>
      <protection hidden="1"/>
    </xf>
    <xf numFmtId="2" fontId="2" fillId="0" borderId="3" xfId="0" applyNumberFormat="1" applyFont="1" applyBorder="1" applyAlignment="1" applyProtection="1">
      <alignment horizontal="center"/>
      <protection hidden="1"/>
    </xf>
    <xf numFmtId="2" fontId="2" fillId="0" borderId="5" xfId="0" applyNumberFormat="1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2" fontId="2" fillId="0" borderId="6" xfId="0" applyNumberFormat="1" applyFont="1" applyBorder="1" applyAlignment="1" applyProtection="1">
      <alignment horizontal="center"/>
      <protection hidden="1"/>
    </xf>
    <xf numFmtId="2" fontId="2" fillId="0" borderId="7" xfId="0" applyNumberFormat="1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wrapText="1"/>
      <protection hidden="1"/>
    </xf>
    <xf numFmtId="0" fontId="2" fillId="0" borderId="8" xfId="0" applyFont="1" applyBorder="1" applyAlignment="1" applyProtection="1">
      <alignment horizontal="center" wrapText="1"/>
      <protection hidden="1"/>
    </xf>
    <xf numFmtId="0" fontId="2" fillId="0" borderId="7" xfId="0" applyFont="1" applyBorder="1" applyAlignment="1" applyProtection="1">
      <alignment horizontal="center" wrapText="1"/>
      <protection hidden="1"/>
    </xf>
    <xf numFmtId="0" fontId="2" fillId="0" borderId="13" xfId="0" applyFont="1" applyBorder="1" applyAlignment="1" applyProtection="1">
      <alignment horizontal="center" wrapText="1"/>
      <protection hidden="1"/>
    </xf>
    <xf numFmtId="0" fontId="2" fillId="0" borderId="0" xfId="0" applyFont="1" applyBorder="1" applyAlignment="1" applyProtection="1">
      <alignment horizontal="center" wrapText="1"/>
      <protection hidden="1"/>
    </xf>
    <xf numFmtId="0" fontId="2" fillId="0" borderId="14" xfId="0" applyFont="1" applyBorder="1" applyAlignment="1" applyProtection="1">
      <alignment horizontal="center" wrapText="1"/>
      <protection hidden="1"/>
    </xf>
    <xf numFmtId="0" fontId="2" fillId="0" borderId="10" xfId="0" applyFont="1" applyBorder="1" applyAlignment="1" applyProtection="1">
      <alignment horizontal="center" wrapText="1"/>
      <protection hidden="1"/>
    </xf>
    <xf numFmtId="0" fontId="2" fillId="0" borderId="15" xfId="0" applyFont="1" applyBorder="1" applyAlignment="1" applyProtection="1">
      <alignment horizontal="center" wrapText="1"/>
      <protection hidden="1"/>
    </xf>
    <xf numFmtId="0" fontId="2" fillId="0" borderId="12" xfId="0" applyFont="1" applyBorder="1" applyAlignment="1" applyProtection="1">
      <alignment horizontal="center" wrapText="1"/>
      <protection hidden="1"/>
    </xf>
    <xf numFmtId="0" fontId="0" fillId="0" borderId="6" xfId="0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 wrapText="1"/>
      <protection hidden="1"/>
    </xf>
    <xf numFmtId="0" fontId="0" fillId="0" borderId="13" xfId="0" applyBorder="1" applyAlignment="1" applyProtection="1">
      <alignment horizontal="center" wrapText="1"/>
      <protection hidden="1"/>
    </xf>
    <xf numFmtId="0" fontId="0" fillId="0" borderId="14" xfId="0" applyBorder="1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2" xfId="0" applyBorder="1" applyAlignment="1" applyProtection="1">
      <alignment horizontal="center" wrapText="1"/>
      <protection hidden="1"/>
    </xf>
    <xf numFmtId="0" fontId="4" fillId="0" borderId="13" xfId="0" applyFont="1" applyBorder="1" applyAlignment="1" applyProtection="1">
      <alignment horizontal="center" wrapText="1"/>
      <protection hidden="1"/>
    </xf>
    <xf numFmtId="0" fontId="4" fillId="0" borderId="14" xfId="0" applyFont="1" applyBorder="1" applyAlignment="1" applyProtection="1">
      <alignment horizontal="center" wrapText="1"/>
      <protection hidden="1"/>
    </xf>
    <xf numFmtId="0" fontId="0" fillId="0" borderId="0" xfId="0" applyAlignment="1" applyProtection="1">
      <protection hidden="1"/>
    </xf>
    <xf numFmtId="0" fontId="8" fillId="0" borderId="0" xfId="0" applyFont="1" applyAlignment="1" applyProtection="1">
      <protection locked="0"/>
    </xf>
    <xf numFmtId="0" fontId="0" fillId="0" borderId="8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 textRotation="90"/>
      <protection hidden="1"/>
    </xf>
    <xf numFmtId="0" fontId="1" fillId="0" borderId="9" xfId="0" applyFont="1" applyBorder="1" applyAlignment="1" applyProtection="1">
      <alignment horizontal="center" textRotation="90"/>
      <protection hidden="1"/>
    </xf>
    <xf numFmtId="0" fontId="4" fillId="0" borderId="2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 textRotation="90"/>
      <protection hidden="1"/>
    </xf>
    <xf numFmtId="0" fontId="5" fillId="0" borderId="9" xfId="0" applyFont="1" applyBorder="1" applyAlignment="1" applyProtection="1">
      <alignment horizontal="center" textRotation="90"/>
      <protection hidden="1"/>
    </xf>
    <xf numFmtId="0" fontId="4" fillId="0" borderId="2" xfId="0" applyFont="1" applyBorder="1" applyAlignment="1" applyProtection="1">
      <alignment horizontal="center" textRotation="90"/>
      <protection hidden="1"/>
    </xf>
    <xf numFmtId="0" fontId="4" fillId="0" borderId="9" xfId="0" applyFont="1" applyBorder="1" applyAlignment="1" applyProtection="1">
      <alignment horizontal="center" textRotation="90"/>
      <protection hidden="1"/>
    </xf>
    <xf numFmtId="0" fontId="0" fillId="0" borderId="2" xfId="0" applyBorder="1" applyAlignment="1" applyProtection="1">
      <alignment horizontal="center" textRotation="90"/>
      <protection hidden="1"/>
    </xf>
    <xf numFmtId="0" fontId="0" fillId="0" borderId="9" xfId="0" applyBorder="1" applyAlignment="1" applyProtection="1">
      <alignment horizontal="center" textRotation="90"/>
      <protection hidden="1"/>
    </xf>
    <xf numFmtId="0" fontId="5" fillId="0" borderId="11" xfId="0" applyFont="1" applyBorder="1" applyAlignment="1" applyProtection="1">
      <alignment horizontal="center" textRotation="90"/>
      <protection hidden="1"/>
    </xf>
    <xf numFmtId="0" fontId="0" fillId="0" borderId="11" xfId="0" applyBorder="1" applyAlignment="1" applyProtection="1">
      <alignment horizontal="center" textRotation="90"/>
      <protection hidden="1"/>
    </xf>
    <xf numFmtId="0" fontId="2" fillId="0" borderId="6" xfId="0" applyFont="1" applyBorder="1" applyAlignment="1" applyProtection="1">
      <alignment horizontal="left" wrapText="1"/>
      <protection hidden="1"/>
    </xf>
    <xf numFmtId="0" fontId="2" fillId="0" borderId="8" xfId="0" applyFont="1" applyBorder="1" applyAlignment="1" applyProtection="1">
      <alignment horizontal="left" wrapText="1"/>
      <protection hidden="1"/>
    </xf>
    <xf numFmtId="0" fontId="2" fillId="0" borderId="7" xfId="0" applyFont="1" applyBorder="1" applyAlignment="1" applyProtection="1">
      <alignment horizontal="left" wrapText="1"/>
      <protection hidden="1"/>
    </xf>
    <xf numFmtId="0" fontId="4" fillId="0" borderId="2" xfId="0" applyFont="1" applyBorder="1" applyAlignment="1" applyProtection="1">
      <alignment horizontal="center" wrapText="1"/>
      <protection hidden="1"/>
    </xf>
    <xf numFmtId="0" fontId="4" fillId="0" borderId="11" xfId="0" applyFont="1" applyBorder="1" applyAlignment="1" applyProtection="1">
      <alignment horizontal="center" wrapText="1"/>
      <protection hidden="1"/>
    </xf>
    <xf numFmtId="0" fontId="4" fillId="0" borderId="9" xfId="0" applyFont="1" applyBorder="1" applyAlignment="1" applyProtection="1">
      <alignment horizontal="center" wrapText="1"/>
      <protection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14" xfId="0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justify"/>
      <protection hidden="1"/>
    </xf>
    <xf numFmtId="0" fontId="2" fillId="0" borderId="2" xfId="0" applyFont="1" applyBorder="1" applyAlignment="1" applyProtection="1">
      <alignment horizontal="center" textRotation="90"/>
      <protection hidden="1"/>
    </xf>
    <xf numFmtId="0" fontId="2" fillId="0" borderId="9" xfId="0" applyFont="1" applyBorder="1" applyAlignment="1" applyProtection="1">
      <alignment horizontal="center" textRotation="90"/>
      <protection hidden="1"/>
    </xf>
    <xf numFmtId="0" fontId="2" fillId="0" borderId="6" xfId="0" applyFont="1" applyBorder="1" applyAlignment="1" applyProtection="1">
      <alignment horizontal="left" vertical="center" wrapText="1"/>
      <protection hidden="1"/>
    </xf>
    <xf numFmtId="0" fontId="2" fillId="0" borderId="8" xfId="0" applyFont="1" applyBorder="1" applyAlignment="1" applyProtection="1">
      <alignment horizontal="left" vertical="center" wrapText="1"/>
      <protection hidden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0" fillId="0" borderId="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wrapText="1"/>
      <protection hidden="1"/>
    </xf>
    <xf numFmtId="0" fontId="0" fillId="0" borderId="9" xfId="0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vertical="justify" textRotation="90"/>
      <protection hidden="1"/>
    </xf>
    <xf numFmtId="0" fontId="5" fillId="0" borderId="9" xfId="0" applyFont="1" applyBorder="1" applyAlignment="1" applyProtection="1">
      <alignment horizontal="center" vertical="justify" textRotation="90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1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right"/>
      <protection hidden="1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left" wrapText="1"/>
      <protection locked="0"/>
    </xf>
    <xf numFmtId="0" fontId="2" fillId="0" borderId="8" xfId="0" applyFont="1" applyBorder="1" applyAlignment="1" applyProtection="1">
      <alignment horizontal="left" wrapText="1"/>
      <protection locked="0"/>
    </xf>
    <xf numFmtId="0" fontId="2" fillId="0" borderId="7" xfId="0" applyFont="1" applyBorder="1" applyAlignment="1" applyProtection="1">
      <alignment horizontal="left" wrapText="1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2" fontId="2" fillId="0" borderId="6" xfId="0" applyNumberFormat="1" applyFont="1" applyFill="1" applyBorder="1" applyAlignment="1">
      <alignment horizontal="center"/>
    </xf>
    <xf numFmtId="2" fontId="2" fillId="0" borderId="8" xfId="0" applyNumberFormat="1" applyFont="1" applyFill="1" applyBorder="1" applyAlignment="1">
      <alignment horizontal="center"/>
    </xf>
    <xf numFmtId="2" fontId="2" fillId="0" borderId="7" xfId="0" applyNumberFormat="1" applyFont="1" applyFill="1" applyBorder="1" applyAlignment="1">
      <alignment horizontal="center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0" xfId="0" applyFont="1" applyAlignment="1" applyProtection="1">
      <alignment vertical="justify"/>
      <protection hidden="1"/>
    </xf>
    <xf numFmtId="0" fontId="11" fillId="0" borderId="0" xfId="0" applyFont="1" applyAlignment="1" applyProtection="1">
      <alignment horizontal="left" vertical="justify" wrapText="1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left" wrapText="1"/>
      <protection locked="0"/>
    </xf>
    <xf numFmtId="0" fontId="8" fillId="0" borderId="0" xfId="0" applyFont="1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16" fillId="0" borderId="6" xfId="0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8" fillId="0" borderId="3" xfId="0" applyFont="1" applyBorder="1" applyAlignment="1" applyProtection="1">
      <alignment horizontal="center"/>
      <protection hidden="1"/>
    </xf>
    <xf numFmtId="0" fontId="18" fillId="0" borderId="4" xfId="0" applyFont="1" applyBorder="1" applyAlignment="1" applyProtection="1">
      <alignment horizont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6" fillId="0" borderId="6" xfId="0" applyNumberFormat="1" applyFont="1" applyBorder="1" applyAlignment="1" applyProtection="1">
      <alignment horizontal="center"/>
      <protection hidden="1"/>
    </xf>
    <xf numFmtId="2" fontId="16" fillId="0" borderId="7" xfId="0" applyNumberFormat="1" applyFont="1" applyBorder="1" applyAlignment="1" applyProtection="1">
      <alignment horizontal="center"/>
      <protection hidden="1"/>
    </xf>
    <xf numFmtId="2" fontId="18" fillId="0" borderId="3" xfId="0" applyNumberFormat="1" applyFont="1" applyBorder="1" applyAlignment="1" applyProtection="1">
      <alignment horizontal="center"/>
      <protection hidden="1"/>
    </xf>
    <xf numFmtId="2" fontId="18" fillId="0" borderId="5" xfId="0" applyNumberFormat="1" applyFont="1" applyBorder="1" applyAlignment="1" applyProtection="1">
      <alignment horizontal="center"/>
      <protection hidden="1"/>
    </xf>
    <xf numFmtId="0" fontId="16" fillId="0" borderId="6" xfId="0" applyFont="1" applyBorder="1" applyAlignment="1" applyProtection="1">
      <alignment horizontal="center"/>
      <protection hidden="1"/>
    </xf>
    <xf numFmtId="0" fontId="16" fillId="0" borderId="8" xfId="0" applyFont="1" applyBorder="1" applyAlignment="1" applyProtection="1">
      <alignment horizontal="center"/>
      <protection hidden="1"/>
    </xf>
    <xf numFmtId="0" fontId="16" fillId="0" borderId="7" xfId="0" applyFont="1" applyBorder="1" applyAlignment="1" applyProtection="1">
      <alignment horizontal="center"/>
      <protection hidden="1"/>
    </xf>
    <xf numFmtId="2" fontId="18" fillId="0" borderId="6" xfId="0" applyNumberFormat="1" applyFont="1" applyBorder="1" applyAlignment="1" applyProtection="1">
      <alignment horizontal="center"/>
      <protection hidden="1"/>
    </xf>
    <xf numFmtId="2" fontId="18" fillId="0" borderId="7" xfId="0" applyNumberFormat="1" applyFont="1" applyBorder="1" applyAlignment="1" applyProtection="1">
      <alignment horizontal="center"/>
      <protection hidden="1"/>
    </xf>
    <xf numFmtId="0" fontId="18" fillId="0" borderId="6" xfId="0" applyFont="1" applyBorder="1" applyAlignment="1" applyProtection="1">
      <alignment horizontal="center"/>
      <protection hidden="1"/>
    </xf>
    <xf numFmtId="0" fontId="18" fillId="0" borderId="7" xfId="0" applyFont="1" applyBorder="1" applyAlignment="1" applyProtection="1">
      <alignment horizontal="center"/>
      <protection hidden="1"/>
    </xf>
    <xf numFmtId="0" fontId="16" fillId="0" borderId="3" xfId="0" applyFont="1" applyBorder="1" applyAlignment="1" applyProtection="1">
      <alignment horizontal="center"/>
      <protection hidden="1"/>
    </xf>
    <xf numFmtId="0" fontId="16" fillId="0" borderId="5" xfId="0" applyFont="1" applyBorder="1" applyAlignment="1" applyProtection="1">
      <alignment horizontal="center"/>
      <protection hidden="1"/>
    </xf>
    <xf numFmtId="0" fontId="16" fillId="0" borderId="3" xfId="0" applyFont="1" applyFill="1" applyBorder="1" applyAlignment="1">
      <alignment horizontal="center" wrapText="1"/>
    </xf>
    <xf numFmtId="0" fontId="16" fillId="0" borderId="5" xfId="0" applyFont="1" applyFill="1" applyBorder="1" applyAlignment="1">
      <alignment horizontal="center" wrapText="1"/>
    </xf>
    <xf numFmtId="0" fontId="18" fillId="0" borderId="3" xfId="0" applyFont="1" applyBorder="1" applyAlignment="1" applyProtection="1">
      <alignment horizontal="center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6" fillId="0" borderId="1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2" fontId="16" fillId="0" borderId="3" xfId="0" applyNumberFormat="1" applyFont="1" applyFill="1" applyBorder="1" applyAlignment="1">
      <alignment horizontal="center"/>
    </xf>
    <xf numFmtId="2" fontId="16" fillId="0" borderId="4" xfId="0" applyNumberFormat="1" applyFont="1" applyFill="1" applyBorder="1" applyAlignment="1">
      <alignment horizontal="center"/>
    </xf>
    <xf numFmtId="2" fontId="16" fillId="0" borderId="5" xfId="0" applyNumberFormat="1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2" fontId="16" fillId="0" borderId="6" xfId="0" applyNumberFormat="1" applyFont="1" applyFill="1" applyBorder="1" applyAlignment="1">
      <alignment horizontal="center"/>
    </xf>
    <xf numFmtId="2" fontId="16" fillId="0" borderId="8" xfId="0" applyNumberFormat="1" applyFont="1" applyFill="1" applyBorder="1" applyAlignment="1">
      <alignment horizontal="center"/>
    </xf>
    <xf numFmtId="2" fontId="16" fillId="0" borderId="7" xfId="0" applyNumberFormat="1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2" fontId="16" fillId="0" borderId="3" xfId="0" applyNumberFormat="1" applyFont="1" applyBorder="1" applyAlignment="1" applyProtection="1">
      <alignment horizontal="center"/>
      <protection hidden="1"/>
    </xf>
    <xf numFmtId="2" fontId="16" fillId="0" borderId="5" xfId="0" applyNumberFormat="1" applyFont="1" applyBorder="1" applyAlignment="1" applyProtection="1">
      <alignment horizontal="center"/>
      <protection hidden="1"/>
    </xf>
    <xf numFmtId="0" fontId="16" fillId="0" borderId="4" xfId="0" applyFont="1" applyBorder="1" applyAlignment="1" applyProtection="1">
      <alignment horizontal="center"/>
      <protection hidden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0" fontId="2" fillId="0" borderId="5" xfId="0" applyFont="1" applyBorder="1" applyAlignment="1" applyProtection="1">
      <alignment horizontal="left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7" xfId="0" applyFont="1" applyBorder="1" applyAlignment="1" applyProtection="1">
      <alignment horizontal="center" wrapText="1"/>
      <protection locked="0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AG110"/>
  <sheetViews>
    <sheetView workbookViewId="0">
      <selection activeCell="L8" sqref="L8"/>
    </sheetView>
  </sheetViews>
  <sheetFormatPr defaultColWidth="9.1796875" defaultRowHeight="12.5" x14ac:dyDescent="0.25"/>
  <cols>
    <col min="1" max="1" width="7.81640625" style="1" customWidth="1"/>
    <col min="2" max="2" width="22.26953125" style="1" customWidth="1"/>
    <col min="3" max="3" width="4.453125" style="1" customWidth="1"/>
    <col min="4" max="4" width="2.7265625" style="1" customWidth="1"/>
    <col min="5" max="7" width="2.54296875" style="1" customWidth="1"/>
    <col min="8" max="14" width="2.7265625" style="1" customWidth="1"/>
    <col min="15" max="15" width="2.453125" style="1" customWidth="1"/>
    <col min="16" max="16" width="2.7265625" style="1" customWidth="1"/>
    <col min="17" max="17" width="2.54296875" style="1" customWidth="1"/>
    <col min="18" max="18" width="2.453125" style="1" customWidth="1"/>
    <col min="19" max="19" width="2.7265625" style="1" customWidth="1"/>
    <col min="20" max="26" width="3.7265625" style="1" customWidth="1"/>
    <col min="27" max="30" width="4.7265625" style="1" customWidth="1"/>
    <col min="31" max="31" width="4.81640625" style="1" customWidth="1"/>
    <col min="32" max="32" width="5.453125" style="1" customWidth="1"/>
    <col min="33" max="33" width="8.81640625" style="1" customWidth="1"/>
    <col min="34" max="16384" width="9.1796875" style="1"/>
  </cols>
  <sheetData>
    <row r="1" spans="1:33" x14ac:dyDescent="0.25">
      <c r="B1" s="47" t="s">
        <v>0</v>
      </c>
      <c r="C1" s="47"/>
      <c r="D1" s="47"/>
      <c r="E1" s="47"/>
    </row>
    <row r="2" spans="1:33" x14ac:dyDescent="0.25">
      <c r="A2" s="56" t="s">
        <v>73</v>
      </c>
      <c r="B2" s="56"/>
      <c r="C2" s="56"/>
      <c r="D2" s="56"/>
      <c r="E2" s="56"/>
      <c r="F2" s="56"/>
    </row>
    <row r="3" spans="1:33" x14ac:dyDescent="0.25">
      <c r="A3" s="56" t="s">
        <v>74</v>
      </c>
      <c r="B3" s="56"/>
      <c r="C3" s="56"/>
      <c r="G3" s="56" t="s">
        <v>34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AA3" s="43" t="s">
        <v>86</v>
      </c>
      <c r="AB3" s="44"/>
      <c r="AC3" s="44"/>
      <c r="AD3" s="45"/>
      <c r="AE3" s="43" t="s">
        <v>36</v>
      </c>
      <c r="AF3" s="45"/>
      <c r="AG3" s="3" t="s">
        <v>35</v>
      </c>
    </row>
    <row r="4" spans="1:33" ht="15.5" x14ac:dyDescent="0.45">
      <c r="A4" s="47"/>
      <c r="B4" s="47"/>
      <c r="C4" s="47"/>
      <c r="F4" s="149" t="s">
        <v>69</v>
      </c>
      <c r="G4" s="149"/>
      <c r="H4" s="149"/>
      <c r="I4" s="150" t="s">
        <v>141</v>
      </c>
      <c r="J4" s="150"/>
      <c r="K4" s="150"/>
      <c r="L4" s="150"/>
      <c r="M4" s="150"/>
      <c r="N4" s="150"/>
      <c r="O4" s="150"/>
      <c r="P4" s="150"/>
      <c r="Q4" s="49">
        <v>2025</v>
      </c>
      <c r="R4" s="49"/>
      <c r="S4" s="4" t="s">
        <v>76</v>
      </c>
      <c r="T4" s="4"/>
      <c r="U4" s="4"/>
      <c r="V4" s="4"/>
      <c r="W4" s="4"/>
      <c r="AA4" s="43" t="s">
        <v>1</v>
      </c>
      <c r="AB4" s="44"/>
      <c r="AC4" s="44"/>
      <c r="AD4" s="45"/>
      <c r="AE4" s="43">
        <v>1</v>
      </c>
      <c r="AF4" s="45"/>
      <c r="AG4" s="5">
        <v>1</v>
      </c>
    </row>
    <row r="5" spans="1:33" ht="27" customHeight="1" x14ac:dyDescent="0.25">
      <c r="A5" s="68" t="s">
        <v>98</v>
      </c>
      <c r="B5" s="68"/>
      <c r="C5" s="68"/>
      <c r="D5" s="68"/>
      <c r="E5" s="68"/>
      <c r="F5" s="68"/>
      <c r="G5" s="68"/>
      <c r="H5" s="68"/>
      <c r="I5" s="68"/>
      <c r="J5" s="192" t="s">
        <v>2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AA5" s="43" t="s">
        <v>3</v>
      </c>
      <c r="AB5" s="44"/>
      <c r="AC5" s="44"/>
      <c r="AD5" s="45"/>
      <c r="AE5" s="43">
        <v>30</v>
      </c>
      <c r="AF5" s="45"/>
      <c r="AG5" s="5">
        <v>30</v>
      </c>
    </row>
    <row r="6" spans="1:33" ht="12.75" customHeight="1" x14ac:dyDescent="0.25">
      <c r="A6" s="48" t="s">
        <v>159</v>
      </c>
      <c r="B6" s="48"/>
      <c r="C6" s="48"/>
      <c r="N6" s="6"/>
    </row>
    <row r="7" spans="1:33" ht="13" x14ac:dyDescent="0.3">
      <c r="A7" s="1" t="s">
        <v>119</v>
      </c>
      <c r="H7" s="7"/>
      <c r="I7" s="7"/>
      <c r="J7" s="7"/>
      <c r="K7" s="7"/>
      <c r="L7" s="7"/>
      <c r="M7" s="7"/>
      <c r="N7" s="7"/>
      <c r="O7" s="7"/>
      <c r="Q7" s="79" t="s">
        <v>8</v>
      </c>
      <c r="R7" s="80"/>
      <c r="S7" s="80"/>
      <c r="T7" s="80"/>
      <c r="U7" s="81"/>
      <c r="V7" s="79" t="s">
        <v>7</v>
      </c>
      <c r="W7" s="80"/>
      <c r="X7" s="80"/>
      <c r="Y7" s="80"/>
      <c r="Z7" s="81"/>
      <c r="AA7" s="79" t="s">
        <v>6</v>
      </c>
      <c r="AB7" s="80"/>
      <c r="AC7" s="80"/>
      <c r="AD7" s="81"/>
      <c r="AE7" s="79" t="s">
        <v>5</v>
      </c>
      <c r="AF7" s="80"/>
      <c r="AG7" s="81"/>
    </row>
    <row r="8" spans="1:33" x14ac:dyDescent="0.25">
      <c r="H8" s="7"/>
      <c r="I8" s="7"/>
      <c r="J8" s="7"/>
      <c r="K8" s="7"/>
      <c r="L8" s="7"/>
      <c r="M8" s="7"/>
      <c r="N8" s="7"/>
      <c r="O8" s="7"/>
      <c r="Q8" s="43"/>
      <c r="R8" s="44"/>
      <c r="S8" s="44"/>
      <c r="T8" s="44"/>
      <c r="U8" s="45"/>
      <c r="V8" s="43"/>
      <c r="W8" s="44"/>
      <c r="X8" s="44"/>
      <c r="Y8" s="44"/>
      <c r="Z8" s="45"/>
      <c r="AA8" s="43"/>
      <c r="AB8" s="44"/>
      <c r="AC8" s="44"/>
      <c r="AD8" s="45"/>
      <c r="AE8" s="43"/>
      <c r="AF8" s="44"/>
      <c r="AG8" s="45"/>
    </row>
    <row r="10" spans="1:33" ht="12.75" customHeight="1" x14ac:dyDescent="0.25">
      <c r="A10" s="171" t="s">
        <v>50</v>
      </c>
      <c r="B10" s="183" t="s">
        <v>51</v>
      </c>
      <c r="C10" s="184"/>
      <c r="D10" s="184"/>
      <c r="E10" s="184"/>
      <c r="F10" s="185"/>
      <c r="G10" s="174" t="s">
        <v>49</v>
      </c>
      <c r="H10" s="175"/>
      <c r="I10" s="79" t="s">
        <v>38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43" t="s">
        <v>37</v>
      </c>
      <c r="Y10" s="44"/>
      <c r="Z10" s="44"/>
      <c r="AA10" s="44"/>
      <c r="AB10" s="44"/>
      <c r="AC10" s="44"/>
      <c r="AD10" s="44"/>
      <c r="AE10" s="44"/>
      <c r="AF10" s="45"/>
      <c r="AG10" s="129" t="s">
        <v>48</v>
      </c>
    </row>
    <row r="11" spans="1:33" x14ac:dyDescent="0.25">
      <c r="A11" s="172"/>
      <c r="B11" s="186"/>
      <c r="C11" s="187"/>
      <c r="D11" s="187"/>
      <c r="E11" s="187"/>
      <c r="F11" s="188"/>
      <c r="G11" s="176"/>
      <c r="H11" s="177"/>
      <c r="I11" s="132" t="s">
        <v>44</v>
      </c>
      <c r="J11" s="133"/>
      <c r="K11" s="133"/>
      <c r="L11" s="134"/>
      <c r="M11" s="79" t="s">
        <v>39</v>
      </c>
      <c r="N11" s="80"/>
      <c r="O11" s="80"/>
      <c r="P11" s="80"/>
      <c r="Q11" s="80"/>
      <c r="R11" s="80"/>
      <c r="S11" s="81"/>
      <c r="T11" s="79" t="s">
        <v>40</v>
      </c>
      <c r="U11" s="80"/>
      <c r="V11" s="80"/>
      <c r="W11" s="81"/>
      <c r="X11" s="132" t="s">
        <v>44</v>
      </c>
      <c r="Y11" s="133"/>
      <c r="Z11" s="134"/>
      <c r="AA11" s="50" t="s">
        <v>45</v>
      </c>
      <c r="AB11" s="52"/>
      <c r="AC11" s="141" t="s">
        <v>46</v>
      </c>
      <c r="AD11" s="142"/>
      <c r="AE11" s="132" t="s">
        <v>47</v>
      </c>
      <c r="AF11" s="134"/>
      <c r="AG11" s="130"/>
    </row>
    <row r="12" spans="1:33" x14ac:dyDescent="0.25">
      <c r="A12" s="172"/>
      <c r="B12" s="186"/>
      <c r="C12" s="187"/>
      <c r="D12" s="187"/>
      <c r="E12" s="187"/>
      <c r="F12" s="188"/>
      <c r="G12" s="176"/>
      <c r="H12" s="177"/>
      <c r="I12" s="135"/>
      <c r="J12" s="136"/>
      <c r="K12" s="136"/>
      <c r="L12" s="137"/>
      <c r="M12" s="50" t="s">
        <v>41</v>
      </c>
      <c r="N12" s="51"/>
      <c r="O12" s="52"/>
      <c r="P12" s="65" t="s">
        <v>42</v>
      </c>
      <c r="Q12" s="66"/>
      <c r="R12" s="66"/>
      <c r="S12" s="67"/>
      <c r="T12" s="50" t="s">
        <v>41</v>
      </c>
      <c r="U12" s="52"/>
      <c r="V12" s="50" t="s">
        <v>43</v>
      </c>
      <c r="W12" s="52"/>
      <c r="X12" s="135"/>
      <c r="Y12" s="136"/>
      <c r="Z12" s="137"/>
      <c r="AA12" s="147"/>
      <c r="AB12" s="148"/>
      <c r="AC12" s="143"/>
      <c r="AD12" s="144"/>
      <c r="AE12" s="135"/>
      <c r="AF12" s="137"/>
      <c r="AG12" s="130"/>
    </row>
    <row r="13" spans="1:33" x14ac:dyDescent="0.25">
      <c r="A13" s="173"/>
      <c r="B13" s="189"/>
      <c r="C13" s="190"/>
      <c r="D13" s="190"/>
      <c r="E13" s="190"/>
      <c r="F13" s="191"/>
      <c r="G13" s="178"/>
      <c r="H13" s="179"/>
      <c r="I13" s="138"/>
      <c r="J13" s="139"/>
      <c r="K13" s="139"/>
      <c r="L13" s="140"/>
      <c r="M13" s="53"/>
      <c r="N13" s="54"/>
      <c r="O13" s="55"/>
      <c r="P13" s="180"/>
      <c r="Q13" s="181"/>
      <c r="R13" s="181"/>
      <c r="S13" s="182"/>
      <c r="T13" s="53"/>
      <c r="U13" s="55"/>
      <c r="V13" s="53"/>
      <c r="W13" s="55"/>
      <c r="X13" s="138"/>
      <c r="Y13" s="139"/>
      <c r="Z13" s="140"/>
      <c r="AA13" s="53"/>
      <c r="AB13" s="55"/>
      <c r="AC13" s="145"/>
      <c r="AD13" s="146"/>
      <c r="AE13" s="138"/>
      <c r="AF13" s="140"/>
      <c r="AG13" s="131"/>
    </row>
    <row r="14" spans="1:33" ht="14.25" customHeight="1" x14ac:dyDescent="0.25">
      <c r="A14" s="26"/>
      <c r="B14" s="195"/>
      <c r="C14" s="196"/>
      <c r="D14" s="196"/>
      <c r="E14" s="196"/>
      <c r="F14" s="197"/>
      <c r="G14" s="65"/>
      <c r="H14" s="67"/>
      <c r="I14" s="65"/>
      <c r="J14" s="66"/>
      <c r="K14" s="66"/>
      <c r="L14" s="67"/>
      <c r="M14" s="65"/>
      <c r="N14" s="66"/>
      <c r="O14" s="67"/>
      <c r="P14" s="65"/>
      <c r="Q14" s="66"/>
      <c r="R14" s="66"/>
      <c r="S14" s="67"/>
      <c r="T14" s="65">
        <f>I14*M14</f>
        <v>0</v>
      </c>
      <c r="U14" s="67"/>
      <c r="V14" s="127">
        <f>I14*P14</f>
        <v>0</v>
      </c>
      <c r="W14" s="128"/>
      <c r="X14" s="65">
        <f>I14</f>
        <v>0</v>
      </c>
      <c r="Y14" s="66"/>
      <c r="Z14" s="67"/>
      <c r="AA14" s="65">
        <f>T14</f>
        <v>0</v>
      </c>
      <c r="AB14" s="67"/>
      <c r="AC14" s="65">
        <f>M14</f>
        <v>0</v>
      </c>
      <c r="AD14" s="67"/>
      <c r="AE14" s="127">
        <f>ROUND(V14,2)</f>
        <v>0</v>
      </c>
      <c r="AF14" s="128"/>
      <c r="AG14" s="25"/>
    </row>
    <row r="15" spans="1:33" ht="12.75" customHeight="1" x14ac:dyDescent="0.25">
      <c r="A15" s="26"/>
      <c r="B15" s="168"/>
      <c r="C15" s="169"/>
      <c r="D15" s="169"/>
      <c r="E15" s="169"/>
      <c r="F15" s="170"/>
      <c r="G15" s="65"/>
      <c r="H15" s="67"/>
      <c r="I15" s="65"/>
      <c r="J15" s="66"/>
      <c r="K15" s="66"/>
      <c r="L15" s="67"/>
      <c r="M15" s="65"/>
      <c r="N15" s="66"/>
      <c r="O15" s="67"/>
      <c r="P15" s="65"/>
      <c r="Q15" s="66"/>
      <c r="R15" s="66"/>
      <c r="S15" s="67"/>
      <c r="T15" s="127">
        <f>I15*M15</f>
        <v>0</v>
      </c>
      <c r="U15" s="128"/>
      <c r="V15" s="127">
        <f>I15*P15</f>
        <v>0</v>
      </c>
      <c r="W15" s="128"/>
      <c r="X15" s="65">
        <f>I15</f>
        <v>0</v>
      </c>
      <c r="Y15" s="66"/>
      <c r="Z15" s="67"/>
      <c r="AA15" s="127">
        <f>T15</f>
        <v>0</v>
      </c>
      <c r="AB15" s="128"/>
      <c r="AC15" s="65">
        <f>M15</f>
        <v>0</v>
      </c>
      <c r="AD15" s="67"/>
      <c r="AE15" s="127">
        <f>ROUND(V15,2)</f>
        <v>0</v>
      </c>
      <c r="AF15" s="128"/>
      <c r="AG15" s="24"/>
    </row>
    <row r="16" spans="1:33" ht="12.75" customHeight="1" x14ac:dyDescent="0.25">
      <c r="A16" s="26"/>
      <c r="B16" s="168"/>
      <c r="C16" s="169"/>
      <c r="D16" s="169"/>
      <c r="E16" s="169"/>
      <c r="F16" s="170"/>
      <c r="G16" s="65"/>
      <c r="H16" s="67"/>
      <c r="I16" s="65"/>
      <c r="J16" s="66"/>
      <c r="K16" s="66"/>
      <c r="L16" s="67"/>
      <c r="M16" s="65"/>
      <c r="N16" s="66"/>
      <c r="O16" s="67"/>
      <c r="P16" s="65"/>
      <c r="Q16" s="66"/>
      <c r="R16" s="66"/>
      <c r="S16" s="67"/>
      <c r="T16" s="127">
        <f>I16*M16</f>
        <v>0</v>
      </c>
      <c r="U16" s="128"/>
      <c r="V16" s="127">
        <f>I16*P16</f>
        <v>0</v>
      </c>
      <c r="W16" s="128"/>
      <c r="X16" s="65">
        <f>I16</f>
        <v>0</v>
      </c>
      <c r="Y16" s="66"/>
      <c r="Z16" s="67"/>
      <c r="AA16" s="127">
        <f>T16</f>
        <v>0</v>
      </c>
      <c r="AB16" s="128"/>
      <c r="AC16" s="65">
        <f>M16</f>
        <v>0</v>
      </c>
      <c r="AD16" s="67"/>
      <c r="AE16" s="127">
        <f>ROUND(V16,2)</f>
        <v>0</v>
      </c>
      <c r="AF16" s="128"/>
      <c r="AG16" s="24"/>
    </row>
    <row r="17" spans="1:33" ht="12.75" customHeight="1" x14ac:dyDescent="0.25">
      <c r="A17" s="26"/>
      <c r="B17" s="168"/>
      <c r="C17" s="169"/>
      <c r="D17" s="169"/>
      <c r="E17" s="169"/>
      <c r="F17" s="170"/>
      <c r="G17" s="65"/>
      <c r="H17" s="67"/>
      <c r="I17" s="65"/>
      <c r="J17" s="66"/>
      <c r="K17" s="66"/>
      <c r="L17" s="67"/>
      <c r="M17" s="65"/>
      <c r="N17" s="66"/>
      <c r="O17" s="67"/>
      <c r="P17" s="65"/>
      <c r="Q17" s="66"/>
      <c r="R17" s="66"/>
      <c r="S17" s="67"/>
      <c r="T17" s="127">
        <f t="shared" ref="T17:T31" si="0">I17*M17</f>
        <v>0</v>
      </c>
      <c r="U17" s="128"/>
      <c r="V17" s="127">
        <f t="shared" ref="V17:V31" si="1">I17*P17</f>
        <v>0</v>
      </c>
      <c r="W17" s="128"/>
      <c r="X17" s="65">
        <f t="shared" ref="X17:X31" si="2">I17</f>
        <v>0</v>
      </c>
      <c r="Y17" s="66"/>
      <c r="Z17" s="67"/>
      <c r="AA17" s="127">
        <f t="shared" ref="AA17:AA31" si="3">T17</f>
        <v>0</v>
      </c>
      <c r="AB17" s="128"/>
      <c r="AC17" s="65">
        <f t="shared" ref="AC17:AC31" si="4">M17</f>
        <v>0</v>
      </c>
      <c r="AD17" s="67"/>
      <c r="AE17" s="127">
        <f t="shared" ref="AE17:AE31" si="5">ROUND(V17,2)</f>
        <v>0</v>
      </c>
      <c r="AF17" s="128"/>
      <c r="AG17" s="24"/>
    </row>
    <row r="18" spans="1:33" ht="12.75" customHeight="1" x14ac:dyDescent="0.25">
      <c r="A18" s="26"/>
      <c r="B18" s="168"/>
      <c r="C18" s="169"/>
      <c r="D18" s="169"/>
      <c r="E18" s="169"/>
      <c r="F18" s="170"/>
      <c r="G18" s="65"/>
      <c r="H18" s="67"/>
      <c r="I18" s="65"/>
      <c r="J18" s="66"/>
      <c r="K18" s="66"/>
      <c r="L18" s="67"/>
      <c r="M18" s="65"/>
      <c r="N18" s="66"/>
      <c r="O18" s="67"/>
      <c r="P18" s="65"/>
      <c r="Q18" s="66"/>
      <c r="R18" s="66"/>
      <c r="S18" s="67"/>
      <c r="T18" s="127">
        <f t="shared" si="0"/>
        <v>0</v>
      </c>
      <c r="U18" s="128"/>
      <c r="V18" s="127">
        <f t="shared" si="1"/>
        <v>0</v>
      </c>
      <c r="W18" s="128"/>
      <c r="X18" s="65">
        <f t="shared" si="2"/>
        <v>0</v>
      </c>
      <c r="Y18" s="66"/>
      <c r="Z18" s="67"/>
      <c r="AA18" s="127">
        <f t="shared" si="3"/>
        <v>0</v>
      </c>
      <c r="AB18" s="128"/>
      <c r="AC18" s="65">
        <f t="shared" si="4"/>
        <v>0</v>
      </c>
      <c r="AD18" s="67"/>
      <c r="AE18" s="127">
        <f t="shared" si="5"/>
        <v>0</v>
      </c>
      <c r="AF18" s="128"/>
      <c r="AG18" s="24"/>
    </row>
    <row r="19" spans="1:33" ht="12.75" customHeight="1" x14ac:dyDescent="0.25">
      <c r="A19" s="26"/>
      <c r="B19" s="168"/>
      <c r="C19" s="169"/>
      <c r="D19" s="169"/>
      <c r="E19" s="169"/>
      <c r="F19" s="170"/>
      <c r="G19" s="65"/>
      <c r="H19" s="67"/>
      <c r="I19" s="65"/>
      <c r="J19" s="66"/>
      <c r="K19" s="66"/>
      <c r="L19" s="67"/>
      <c r="M19" s="65"/>
      <c r="N19" s="66"/>
      <c r="O19" s="67"/>
      <c r="P19" s="65"/>
      <c r="Q19" s="66"/>
      <c r="R19" s="66"/>
      <c r="S19" s="67"/>
      <c r="T19" s="127">
        <f t="shared" si="0"/>
        <v>0</v>
      </c>
      <c r="U19" s="128"/>
      <c r="V19" s="127">
        <f t="shared" si="1"/>
        <v>0</v>
      </c>
      <c r="W19" s="128"/>
      <c r="X19" s="65">
        <f t="shared" si="2"/>
        <v>0</v>
      </c>
      <c r="Y19" s="66"/>
      <c r="Z19" s="67"/>
      <c r="AA19" s="127">
        <f t="shared" si="3"/>
        <v>0</v>
      </c>
      <c r="AB19" s="128"/>
      <c r="AC19" s="65">
        <f t="shared" si="4"/>
        <v>0</v>
      </c>
      <c r="AD19" s="67"/>
      <c r="AE19" s="127">
        <f t="shared" si="5"/>
        <v>0</v>
      </c>
      <c r="AF19" s="128"/>
      <c r="AG19" s="24"/>
    </row>
    <row r="20" spans="1:33" ht="12.75" customHeight="1" x14ac:dyDescent="0.25">
      <c r="A20" s="26"/>
      <c r="B20" s="168"/>
      <c r="C20" s="169"/>
      <c r="D20" s="169"/>
      <c r="E20" s="169"/>
      <c r="F20" s="170"/>
      <c r="G20" s="65"/>
      <c r="H20" s="67"/>
      <c r="I20" s="65"/>
      <c r="J20" s="66"/>
      <c r="K20" s="66"/>
      <c r="L20" s="67"/>
      <c r="M20" s="65"/>
      <c r="N20" s="66"/>
      <c r="O20" s="67"/>
      <c r="P20" s="65"/>
      <c r="Q20" s="66"/>
      <c r="R20" s="66"/>
      <c r="S20" s="67"/>
      <c r="T20" s="127">
        <f t="shared" si="0"/>
        <v>0</v>
      </c>
      <c r="U20" s="128"/>
      <c r="V20" s="127">
        <f t="shared" si="1"/>
        <v>0</v>
      </c>
      <c r="W20" s="128"/>
      <c r="X20" s="65">
        <f t="shared" si="2"/>
        <v>0</v>
      </c>
      <c r="Y20" s="66"/>
      <c r="Z20" s="67"/>
      <c r="AA20" s="127">
        <f t="shared" si="3"/>
        <v>0</v>
      </c>
      <c r="AB20" s="128"/>
      <c r="AC20" s="65">
        <f t="shared" si="4"/>
        <v>0</v>
      </c>
      <c r="AD20" s="67"/>
      <c r="AE20" s="127">
        <f t="shared" si="5"/>
        <v>0</v>
      </c>
      <c r="AF20" s="128"/>
      <c r="AG20" s="24"/>
    </row>
    <row r="21" spans="1:33" ht="12.75" customHeight="1" x14ac:dyDescent="0.25">
      <c r="A21" s="26"/>
      <c r="B21" s="168"/>
      <c r="C21" s="169"/>
      <c r="D21" s="169"/>
      <c r="E21" s="169"/>
      <c r="F21" s="170"/>
      <c r="G21" s="65"/>
      <c r="H21" s="67"/>
      <c r="I21" s="65"/>
      <c r="J21" s="66"/>
      <c r="K21" s="66"/>
      <c r="L21" s="67"/>
      <c r="M21" s="65"/>
      <c r="N21" s="66"/>
      <c r="O21" s="67"/>
      <c r="P21" s="65"/>
      <c r="Q21" s="66"/>
      <c r="R21" s="66"/>
      <c r="S21" s="67"/>
      <c r="T21" s="127">
        <f t="shared" si="0"/>
        <v>0</v>
      </c>
      <c r="U21" s="128"/>
      <c r="V21" s="127">
        <f t="shared" si="1"/>
        <v>0</v>
      </c>
      <c r="W21" s="128"/>
      <c r="X21" s="65">
        <f t="shared" si="2"/>
        <v>0</v>
      </c>
      <c r="Y21" s="66"/>
      <c r="Z21" s="67"/>
      <c r="AA21" s="127">
        <f t="shared" si="3"/>
        <v>0</v>
      </c>
      <c r="AB21" s="128"/>
      <c r="AC21" s="65">
        <f t="shared" si="4"/>
        <v>0</v>
      </c>
      <c r="AD21" s="67"/>
      <c r="AE21" s="127">
        <f t="shared" si="5"/>
        <v>0</v>
      </c>
      <c r="AF21" s="128"/>
      <c r="AG21" s="24"/>
    </row>
    <row r="22" spans="1:33" ht="12.75" customHeight="1" x14ac:dyDescent="0.25">
      <c r="A22" s="26"/>
      <c r="B22" s="168"/>
      <c r="C22" s="169"/>
      <c r="D22" s="169"/>
      <c r="E22" s="169"/>
      <c r="F22" s="170"/>
      <c r="G22" s="65"/>
      <c r="H22" s="67"/>
      <c r="I22" s="65"/>
      <c r="J22" s="66"/>
      <c r="K22" s="66"/>
      <c r="L22" s="67"/>
      <c r="M22" s="65"/>
      <c r="N22" s="66"/>
      <c r="O22" s="67"/>
      <c r="P22" s="65"/>
      <c r="Q22" s="66"/>
      <c r="R22" s="66"/>
      <c r="S22" s="67"/>
      <c r="T22" s="127">
        <f t="shared" si="0"/>
        <v>0</v>
      </c>
      <c r="U22" s="128"/>
      <c r="V22" s="127">
        <f t="shared" si="1"/>
        <v>0</v>
      </c>
      <c r="W22" s="128"/>
      <c r="X22" s="65">
        <f t="shared" si="2"/>
        <v>0</v>
      </c>
      <c r="Y22" s="66"/>
      <c r="Z22" s="67"/>
      <c r="AA22" s="127">
        <f t="shared" si="3"/>
        <v>0</v>
      </c>
      <c r="AB22" s="128"/>
      <c r="AC22" s="65">
        <f t="shared" si="4"/>
        <v>0</v>
      </c>
      <c r="AD22" s="67"/>
      <c r="AE22" s="127">
        <f t="shared" si="5"/>
        <v>0</v>
      </c>
      <c r="AF22" s="128"/>
      <c r="AG22" s="24"/>
    </row>
    <row r="23" spans="1:33" ht="12.75" customHeight="1" x14ac:dyDescent="0.25">
      <c r="A23" s="26"/>
      <c r="B23" s="168"/>
      <c r="C23" s="169"/>
      <c r="D23" s="169"/>
      <c r="E23" s="169"/>
      <c r="F23" s="170"/>
      <c r="G23" s="65"/>
      <c r="H23" s="67"/>
      <c r="I23" s="65"/>
      <c r="J23" s="66"/>
      <c r="K23" s="66"/>
      <c r="L23" s="67"/>
      <c r="M23" s="65"/>
      <c r="N23" s="66"/>
      <c r="O23" s="67"/>
      <c r="P23" s="65"/>
      <c r="Q23" s="66"/>
      <c r="R23" s="66"/>
      <c r="S23" s="67"/>
      <c r="T23" s="127">
        <f t="shared" si="0"/>
        <v>0</v>
      </c>
      <c r="U23" s="128"/>
      <c r="V23" s="127">
        <f t="shared" si="1"/>
        <v>0</v>
      </c>
      <c r="W23" s="128"/>
      <c r="X23" s="65">
        <f t="shared" si="2"/>
        <v>0</v>
      </c>
      <c r="Y23" s="66"/>
      <c r="Z23" s="67"/>
      <c r="AA23" s="127">
        <f t="shared" si="3"/>
        <v>0</v>
      </c>
      <c r="AB23" s="128"/>
      <c r="AC23" s="65">
        <f t="shared" si="4"/>
        <v>0</v>
      </c>
      <c r="AD23" s="67"/>
      <c r="AE23" s="127">
        <f t="shared" si="5"/>
        <v>0</v>
      </c>
      <c r="AF23" s="128"/>
      <c r="AG23" s="24"/>
    </row>
    <row r="24" spans="1:33" ht="12.75" customHeight="1" x14ac:dyDescent="0.25">
      <c r="A24" s="26"/>
      <c r="B24" s="168"/>
      <c r="C24" s="169"/>
      <c r="D24" s="169"/>
      <c r="E24" s="169"/>
      <c r="F24" s="170"/>
      <c r="G24" s="65"/>
      <c r="H24" s="67"/>
      <c r="I24" s="65"/>
      <c r="J24" s="66"/>
      <c r="K24" s="66"/>
      <c r="L24" s="67"/>
      <c r="M24" s="65"/>
      <c r="N24" s="66"/>
      <c r="O24" s="67"/>
      <c r="P24" s="65"/>
      <c r="Q24" s="66"/>
      <c r="R24" s="66"/>
      <c r="S24" s="67"/>
      <c r="T24" s="127">
        <f t="shared" si="0"/>
        <v>0</v>
      </c>
      <c r="U24" s="128"/>
      <c r="V24" s="127">
        <f t="shared" si="1"/>
        <v>0</v>
      </c>
      <c r="W24" s="128"/>
      <c r="X24" s="65">
        <f t="shared" si="2"/>
        <v>0</v>
      </c>
      <c r="Y24" s="66"/>
      <c r="Z24" s="67"/>
      <c r="AA24" s="127">
        <f t="shared" si="3"/>
        <v>0</v>
      </c>
      <c r="AB24" s="128"/>
      <c r="AC24" s="65">
        <f t="shared" si="4"/>
        <v>0</v>
      </c>
      <c r="AD24" s="67"/>
      <c r="AE24" s="127">
        <f t="shared" si="5"/>
        <v>0</v>
      </c>
      <c r="AF24" s="128"/>
      <c r="AG24" s="24"/>
    </row>
    <row r="25" spans="1:33" ht="12.75" customHeight="1" x14ac:dyDescent="0.25">
      <c r="A25" s="26"/>
      <c r="B25" s="168"/>
      <c r="C25" s="169"/>
      <c r="D25" s="169"/>
      <c r="E25" s="169"/>
      <c r="F25" s="170"/>
      <c r="G25" s="65"/>
      <c r="H25" s="67"/>
      <c r="I25" s="65"/>
      <c r="J25" s="66"/>
      <c r="K25" s="66"/>
      <c r="L25" s="67"/>
      <c r="M25" s="65"/>
      <c r="N25" s="66"/>
      <c r="O25" s="67"/>
      <c r="P25" s="65"/>
      <c r="Q25" s="66"/>
      <c r="R25" s="66"/>
      <c r="S25" s="67"/>
      <c r="T25" s="127">
        <f t="shared" si="0"/>
        <v>0</v>
      </c>
      <c r="U25" s="128"/>
      <c r="V25" s="127">
        <f t="shared" si="1"/>
        <v>0</v>
      </c>
      <c r="W25" s="128"/>
      <c r="X25" s="65">
        <f t="shared" si="2"/>
        <v>0</v>
      </c>
      <c r="Y25" s="66"/>
      <c r="Z25" s="67"/>
      <c r="AA25" s="127">
        <f t="shared" si="3"/>
        <v>0</v>
      </c>
      <c r="AB25" s="128"/>
      <c r="AC25" s="65">
        <f t="shared" si="4"/>
        <v>0</v>
      </c>
      <c r="AD25" s="67"/>
      <c r="AE25" s="127">
        <f t="shared" si="5"/>
        <v>0</v>
      </c>
      <c r="AF25" s="128"/>
      <c r="AG25" s="24"/>
    </row>
    <row r="26" spans="1:33" ht="12.75" customHeight="1" x14ac:dyDescent="0.25">
      <c r="A26" s="26"/>
      <c r="B26" s="168"/>
      <c r="C26" s="169"/>
      <c r="D26" s="169"/>
      <c r="E26" s="169"/>
      <c r="F26" s="170"/>
      <c r="G26" s="65"/>
      <c r="H26" s="67"/>
      <c r="I26" s="65"/>
      <c r="J26" s="66"/>
      <c r="K26" s="66"/>
      <c r="L26" s="67"/>
      <c r="M26" s="65"/>
      <c r="N26" s="66"/>
      <c r="O26" s="67"/>
      <c r="P26" s="65"/>
      <c r="Q26" s="66"/>
      <c r="R26" s="66"/>
      <c r="S26" s="67"/>
      <c r="T26" s="127">
        <f t="shared" si="0"/>
        <v>0</v>
      </c>
      <c r="U26" s="128"/>
      <c r="V26" s="127">
        <f t="shared" si="1"/>
        <v>0</v>
      </c>
      <c r="W26" s="128"/>
      <c r="X26" s="65">
        <f t="shared" si="2"/>
        <v>0</v>
      </c>
      <c r="Y26" s="66"/>
      <c r="Z26" s="67"/>
      <c r="AA26" s="127">
        <f t="shared" si="3"/>
        <v>0</v>
      </c>
      <c r="AB26" s="128"/>
      <c r="AC26" s="65">
        <f t="shared" si="4"/>
        <v>0</v>
      </c>
      <c r="AD26" s="67"/>
      <c r="AE26" s="127">
        <f t="shared" si="5"/>
        <v>0</v>
      </c>
      <c r="AF26" s="128"/>
      <c r="AG26" s="24"/>
    </row>
    <row r="27" spans="1:33" ht="12.75" customHeight="1" x14ac:dyDescent="0.25">
      <c r="A27" s="26"/>
      <c r="B27" s="168"/>
      <c r="C27" s="169"/>
      <c r="D27" s="169"/>
      <c r="E27" s="169"/>
      <c r="F27" s="170"/>
      <c r="G27" s="65"/>
      <c r="H27" s="67"/>
      <c r="I27" s="65"/>
      <c r="J27" s="66"/>
      <c r="K27" s="66"/>
      <c r="L27" s="67"/>
      <c r="M27" s="65"/>
      <c r="N27" s="66"/>
      <c r="O27" s="67"/>
      <c r="P27" s="65"/>
      <c r="Q27" s="66"/>
      <c r="R27" s="66"/>
      <c r="S27" s="67"/>
      <c r="T27" s="127">
        <f t="shared" si="0"/>
        <v>0</v>
      </c>
      <c r="U27" s="128"/>
      <c r="V27" s="127">
        <f t="shared" si="1"/>
        <v>0</v>
      </c>
      <c r="W27" s="128"/>
      <c r="X27" s="65">
        <f t="shared" si="2"/>
        <v>0</v>
      </c>
      <c r="Y27" s="66"/>
      <c r="Z27" s="67"/>
      <c r="AA27" s="127">
        <f t="shared" si="3"/>
        <v>0</v>
      </c>
      <c r="AB27" s="128"/>
      <c r="AC27" s="65">
        <f t="shared" si="4"/>
        <v>0</v>
      </c>
      <c r="AD27" s="67"/>
      <c r="AE27" s="127">
        <f t="shared" si="5"/>
        <v>0</v>
      </c>
      <c r="AF27" s="128"/>
      <c r="AG27" s="24"/>
    </row>
    <row r="28" spans="1:33" ht="12.75" customHeight="1" x14ac:dyDescent="0.25">
      <c r="A28" s="26"/>
      <c r="B28" s="168"/>
      <c r="C28" s="169"/>
      <c r="D28" s="169"/>
      <c r="E28" s="169"/>
      <c r="F28" s="170"/>
      <c r="G28" s="65"/>
      <c r="H28" s="67"/>
      <c r="I28" s="65"/>
      <c r="J28" s="66"/>
      <c r="K28" s="66"/>
      <c r="L28" s="67"/>
      <c r="M28" s="65"/>
      <c r="N28" s="66"/>
      <c r="O28" s="67"/>
      <c r="P28" s="65"/>
      <c r="Q28" s="66"/>
      <c r="R28" s="66"/>
      <c r="S28" s="67"/>
      <c r="T28" s="127">
        <f t="shared" si="0"/>
        <v>0</v>
      </c>
      <c r="U28" s="128"/>
      <c r="V28" s="127">
        <f t="shared" si="1"/>
        <v>0</v>
      </c>
      <c r="W28" s="128"/>
      <c r="X28" s="65">
        <f t="shared" si="2"/>
        <v>0</v>
      </c>
      <c r="Y28" s="66"/>
      <c r="Z28" s="67"/>
      <c r="AA28" s="127">
        <f t="shared" si="3"/>
        <v>0</v>
      </c>
      <c r="AB28" s="128"/>
      <c r="AC28" s="65">
        <f t="shared" si="4"/>
        <v>0</v>
      </c>
      <c r="AD28" s="67"/>
      <c r="AE28" s="127">
        <f t="shared" si="5"/>
        <v>0</v>
      </c>
      <c r="AF28" s="128"/>
      <c r="AG28" s="24"/>
    </row>
    <row r="29" spans="1:33" ht="12.75" customHeight="1" x14ac:dyDescent="0.25">
      <c r="A29" s="26"/>
      <c r="B29" s="168"/>
      <c r="C29" s="169"/>
      <c r="D29" s="169"/>
      <c r="E29" s="169"/>
      <c r="F29" s="170"/>
      <c r="G29" s="65"/>
      <c r="H29" s="67"/>
      <c r="I29" s="65"/>
      <c r="J29" s="66"/>
      <c r="K29" s="66"/>
      <c r="L29" s="67"/>
      <c r="M29" s="65"/>
      <c r="N29" s="66"/>
      <c r="O29" s="67"/>
      <c r="P29" s="65"/>
      <c r="Q29" s="66"/>
      <c r="R29" s="66"/>
      <c r="S29" s="67"/>
      <c r="T29" s="127">
        <f t="shared" si="0"/>
        <v>0</v>
      </c>
      <c r="U29" s="128"/>
      <c r="V29" s="127">
        <f t="shared" si="1"/>
        <v>0</v>
      </c>
      <c r="W29" s="128"/>
      <c r="X29" s="65">
        <f t="shared" si="2"/>
        <v>0</v>
      </c>
      <c r="Y29" s="66"/>
      <c r="Z29" s="67"/>
      <c r="AA29" s="127">
        <f t="shared" si="3"/>
        <v>0</v>
      </c>
      <c r="AB29" s="128"/>
      <c r="AC29" s="65">
        <f t="shared" si="4"/>
        <v>0</v>
      </c>
      <c r="AD29" s="67"/>
      <c r="AE29" s="127">
        <f t="shared" si="5"/>
        <v>0</v>
      </c>
      <c r="AF29" s="128"/>
      <c r="AG29" s="24"/>
    </row>
    <row r="30" spans="1:33" ht="12.75" customHeight="1" x14ac:dyDescent="0.25">
      <c r="A30" s="26"/>
      <c r="B30" s="168"/>
      <c r="C30" s="169"/>
      <c r="D30" s="169"/>
      <c r="E30" s="169"/>
      <c r="F30" s="170"/>
      <c r="G30" s="65"/>
      <c r="H30" s="67"/>
      <c r="I30" s="65"/>
      <c r="J30" s="66"/>
      <c r="K30" s="66"/>
      <c r="L30" s="67"/>
      <c r="M30" s="65"/>
      <c r="N30" s="66"/>
      <c r="O30" s="67"/>
      <c r="P30" s="65"/>
      <c r="Q30" s="66"/>
      <c r="R30" s="66"/>
      <c r="S30" s="67"/>
      <c r="T30" s="127">
        <f t="shared" si="0"/>
        <v>0</v>
      </c>
      <c r="U30" s="128"/>
      <c r="V30" s="127">
        <f t="shared" si="1"/>
        <v>0</v>
      </c>
      <c r="W30" s="128"/>
      <c r="X30" s="65">
        <f t="shared" si="2"/>
        <v>0</v>
      </c>
      <c r="Y30" s="66"/>
      <c r="Z30" s="67"/>
      <c r="AA30" s="127">
        <f t="shared" si="3"/>
        <v>0</v>
      </c>
      <c r="AB30" s="128"/>
      <c r="AC30" s="65">
        <f t="shared" si="4"/>
        <v>0</v>
      </c>
      <c r="AD30" s="67"/>
      <c r="AE30" s="127">
        <f t="shared" si="5"/>
        <v>0</v>
      </c>
      <c r="AF30" s="128"/>
      <c r="AG30" s="24"/>
    </row>
    <row r="31" spans="1:33" x14ac:dyDescent="0.25">
      <c r="A31" s="26"/>
      <c r="B31" s="168"/>
      <c r="C31" s="169"/>
      <c r="D31" s="169"/>
      <c r="E31" s="169"/>
      <c r="F31" s="170"/>
      <c r="G31" s="65"/>
      <c r="H31" s="67"/>
      <c r="I31" s="65"/>
      <c r="J31" s="66"/>
      <c r="K31" s="66"/>
      <c r="L31" s="67"/>
      <c r="M31" s="65"/>
      <c r="N31" s="66"/>
      <c r="O31" s="67"/>
      <c r="P31" s="65"/>
      <c r="Q31" s="66"/>
      <c r="R31" s="66"/>
      <c r="S31" s="67"/>
      <c r="T31" s="127">
        <f t="shared" si="0"/>
        <v>0</v>
      </c>
      <c r="U31" s="128"/>
      <c r="V31" s="127">
        <f t="shared" si="1"/>
        <v>0</v>
      </c>
      <c r="W31" s="128"/>
      <c r="X31" s="65">
        <f t="shared" si="2"/>
        <v>0</v>
      </c>
      <c r="Y31" s="66"/>
      <c r="Z31" s="67"/>
      <c r="AA31" s="127">
        <f t="shared" si="3"/>
        <v>0</v>
      </c>
      <c r="AB31" s="128"/>
      <c r="AC31" s="65">
        <f t="shared" si="4"/>
        <v>0</v>
      </c>
      <c r="AD31" s="67"/>
      <c r="AE31" s="127">
        <f t="shared" si="5"/>
        <v>0</v>
      </c>
      <c r="AF31" s="128"/>
      <c r="AG31" s="24"/>
    </row>
    <row r="32" spans="1:33" x14ac:dyDescent="0.25">
      <c r="A32" s="22"/>
      <c r="B32" s="121"/>
      <c r="C32" s="122"/>
      <c r="D32" s="122"/>
      <c r="E32" s="122"/>
      <c r="F32" s="123"/>
      <c r="G32" s="79"/>
      <c r="H32" s="81"/>
      <c r="I32" s="79"/>
      <c r="J32" s="80"/>
      <c r="K32" s="80"/>
      <c r="L32" s="81"/>
      <c r="M32" s="79"/>
      <c r="N32" s="80"/>
      <c r="O32" s="81"/>
      <c r="P32" s="79"/>
      <c r="Q32" s="80"/>
      <c r="R32" s="80"/>
      <c r="S32" s="81"/>
      <c r="T32" s="79">
        <f>I32*M32</f>
        <v>0</v>
      </c>
      <c r="U32" s="81"/>
      <c r="V32" s="124">
        <f>I32*P32</f>
        <v>0</v>
      </c>
      <c r="W32" s="125"/>
      <c r="X32" s="79">
        <f>I32</f>
        <v>0</v>
      </c>
      <c r="Y32" s="80"/>
      <c r="Z32" s="81"/>
      <c r="AA32" s="79">
        <f>T32</f>
        <v>0</v>
      </c>
      <c r="AB32" s="81"/>
      <c r="AC32" s="79">
        <f>M32</f>
        <v>0</v>
      </c>
      <c r="AD32" s="81"/>
      <c r="AE32" s="124">
        <f>ROUND(V32,2)</f>
        <v>0</v>
      </c>
      <c r="AF32" s="125"/>
      <c r="AG32" s="3"/>
    </row>
    <row r="33" spans="1:33" ht="13" x14ac:dyDescent="0.3">
      <c r="AB33" s="119" t="s">
        <v>52</v>
      </c>
      <c r="AC33" s="119"/>
      <c r="AD33" s="120"/>
      <c r="AE33" s="117">
        <f>SUM(AE14:AF32)</f>
        <v>0</v>
      </c>
      <c r="AF33" s="118"/>
    </row>
    <row r="35" spans="1:33" x14ac:dyDescent="0.25">
      <c r="B35" s="46" t="s">
        <v>77</v>
      </c>
      <c r="C35" s="46"/>
      <c r="D35" s="46"/>
      <c r="E35" s="46"/>
      <c r="F35" s="46"/>
      <c r="G35" s="47" t="str">
        <f>I4</f>
        <v>Июль</v>
      </c>
      <c r="H35" s="47"/>
      <c r="I35" s="47"/>
      <c r="J35" s="47"/>
      <c r="K35" s="47">
        <f>Q4</f>
        <v>2025</v>
      </c>
      <c r="L35" s="47"/>
      <c r="M35" s="9" t="s">
        <v>76</v>
      </c>
      <c r="T35" s="46" t="s">
        <v>78</v>
      </c>
      <c r="U35" s="46"/>
      <c r="V35" s="46"/>
      <c r="W35" s="46"/>
      <c r="X35" s="46"/>
      <c r="Y35" s="46"/>
      <c r="Z35" s="46"/>
      <c r="AA35" s="46"/>
      <c r="AB35" s="46"/>
      <c r="AC35" s="9" t="s">
        <v>79</v>
      </c>
      <c r="AD35" s="9">
        <f>Q4</f>
        <v>2025</v>
      </c>
      <c r="AE35" s="9" t="s">
        <v>76</v>
      </c>
      <c r="AF35" s="9"/>
    </row>
    <row r="36" spans="1:33" x14ac:dyDescent="0.25">
      <c r="D36" s="46" t="s">
        <v>67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 spans="1:33" x14ac:dyDescent="0.25">
      <c r="B37" s="46" t="s">
        <v>82</v>
      </c>
      <c r="C37" s="46"/>
      <c r="D37" s="46"/>
      <c r="E37" s="46"/>
      <c r="F37" s="46"/>
      <c r="G37" s="47" t="str">
        <f>I4</f>
        <v>Июль</v>
      </c>
      <c r="H37" s="47"/>
      <c r="I37" s="47"/>
      <c r="J37" s="47"/>
      <c r="K37" s="47">
        <f>Q4</f>
        <v>2025</v>
      </c>
      <c r="L37" s="47"/>
      <c r="M37" s="9" t="s">
        <v>76</v>
      </c>
      <c r="T37" s="47" t="s">
        <v>80</v>
      </c>
      <c r="U37" s="47"/>
      <c r="V37" s="47"/>
      <c r="W37" s="47"/>
      <c r="X37" s="47"/>
      <c r="Y37" s="47"/>
      <c r="Z37" s="47"/>
      <c r="AA37" s="47"/>
      <c r="AB37" s="47"/>
      <c r="AC37" s="9" t="s">
        <v>81</v>
      </c>
      <c r="AD37" s="9">
        <f>Q4</f>
        <v>2025</v>
      </c>
      <c r="AE37" s="9" t="s">
        <v>76</v>
      </c>
      <c r="AF37" s="9"/>
    </row>
    <row r="38" spans="1:33" x14ac:dyDescent="0.25">
      <c r="B38" s="47" t="s">
        <v>89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9">
        <f>Q4</f>
        <v>2025</v>
      </c>
      <c r="AG38" s="1" t="s">
        <v>76</v>
      </c>
    </row>
    <row r="40" spans="1:33" x14ac:dyDescent="0.25">
      <c r="B40" s="46" t="s">
        <v>72</v>
      </c>
      <c r="C40" s="46"/>
      <c r="D40" s="46"/>
      <c r="E40" s="46"/>
      <c r="F40" s="46"/>
      <c r="G40" s="46"/>
      <c r="H40" s="46"/>
    </row>
    <row r="42" spans="1:33" ht="13" x14ac:dyDescent="0.3">
      <c r="D42" s="60" t="s">
        <v>70</v>
      </c>
      <c r="E42" s="60"/>
      <c r="F42" s="60"/>
      <c r="G42" s="60"/>
      <c r="H42" s="60"/>
      <c r="I42" s="60"/>
      <c r="J42" s="61" t="str">
        <f>I4</f>
        <v>Июль</v>
      </c>
      <c r="K42" s="61"/>
      <c r="L42" s="61"/>
      <c r="M42" s="61"/>
      <c r="N42" s="61"/>
      <c r="O42" s="61"/>
      <c r="P42" s="62">
        <f>Q4</f>
        <v>2025</v>
      </c>
      <c r="Q42" s="62"/>
      <c r="R42" s="62"/>
      <c r="S42" s="62"/>
    </row>
    <row r="43" spans="1:33" x14ac:dyDescent="0.25">
      <c r="A43" s="160" t="s">
        <v>27</v>
      </c>
      <c r="B43" s="110" t="s">
        <v>26</v>
      </c>
      <c r="C43" s="164" t="s">
        <v>25</v>
      </c>
      <c r="D43" s="43" t="s">
        <v>9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5"/>
      <c r="T43" s="43" t="s">
        <v>10</v>
      </c>
      <c r="U43" s="44"/>
      <c r="V43" s="44"/>
      <c r="W43" s="44"/>
      <c r="X43" s="45"/>
      <c r="Y43" s="43" t="s">
        <v>11</v>
      </c>
      <c r="Z43" s="44"/>
      <c r="AA43" s="45"/>
      <c r="AB43" s="43" t="s">
        <v>12</v>
      </c>
      <c r="AC43" s="44"/>
      <c r="AD43" s="44"/>
      <c r="AE43" s="44"/>
      <c r="AF43" s="44"/>
      <c r="AG43" s="45"/>
    </row>
    <row r="44" spans="1:33" ht="18" customHeight="1" x14ac:dyDescent="0.25">
      <c r="A44" s="166"/>
      <c r="B44" s="111"/>
      <c r="C44" s="167"/>
      <c r="D44" s="10">
        <v>1</v>
      </c>
      <c r="E44" s="10">
        <v>2</v>
      </c>
      <c r="F44" s="10">
        <v>3</v>
      </c>
      <c r="G44" s="11">
        <v>4</v>
      </c>
      <c r="H44" s="10">
        <v>5</v>
      </c>
      <c r="I44" s="10">
        <v>6</v>
      </c>
      <c r="J44" s="10">
        <v>7</v>
      </c>
      <c r="K44" s="10">
        <v>8</v>
      </c>
      <c r="L44" s="10">
        <v>9</v>
      </c>
      <c r="M44" s="10">
        <v>10</v>
      </c>
      <c r="N44" s="10">
        <v>11</v>
      </c>
      <c r="O44" s="11">
        <v>12</v>
      </c>
      <c r="P44" s="10">
        <v>13</v>
      </c>
      <c r="Q44" s="10">
        <v>14</v>
      </c>
      <c r="R44" s="10">
        <v>15</v>
      </c>
      <c r="S44" s="8" t="s">
        <v>13</v>
      </c>
      <c r="T44" s="157" t="s">
        <v>14</v>
      </c>
      <c r="U44" s="158"/>
      <c r="V44" s="159"/>
      <c r="W44" s="160" t="s">
        <v>18</v>
      </c>
      <c r="X44" s="153" t="s">
        <v>19</v>
      </c>
      <c r="Y44" s="193" t="s">
        <v>15</v>
      </c>
      <c r="Z44" s="162" t="s">
        <v>20</v>
      </c>
      <c r="AA44" s="164" t="s">
        <v>19</v>
      </c>
      <c r="AB44" s="43" t="s">
        <v>21</v>
      </c>
      <c r="AC44" s="44"/>
      <c r="AD44" s="44"/>
      <c r="AE44" s="45"/>
      <c r="AF44" s="202" t="s">
        <v>23</v>
      </c>
      <c r="AG44" s="200" t="s">
        <v>24</v>
      </c>
    </row>
    <row r="45" spans="1:33" ht="18" customHeight="1" x14ac:dyDescent="0.25">
      <c r="A45" s="161"/>
      <c r="B45" s="112"/>
      <c r="C45" s="165"/>
      <c r="D45" s="10">
        <v>16</v>
      </c>
      <c r="E45" s="10">
        <v>17</v>
      </c>
      <c r="F45" s="10">
        <v>18</v>
      </c>
      <c r="G45" s="10">
        <v>19</v>
      </c>
      <c r="H45" s="10">
        <v>20</v>
      </c>
      <c r="I45" s="10">
        <v>21</v>
      </c>
      <c r="J45" s="10">
        <v>22</v>
      </c>
      <c r="K45" s="10">
        <v>23</v>
      </c>
      <c r="L45" s="10">
        <v>24</v>
      </c>
      <c r="M45" s="10">
        <v>25</v>
      </c>
      <c r="N45" s="10">
        <v>26</v>
      </c>
      <c r="O45" s="10">
        <v>27</v>
      </c>
      <c r="P45" s="10">
        <v>28</v>
      </c>
      <c r="Q45" s="10">
        <v>29</v>
      </c>
      <c r="R45" s="10">
        <v>30</v>
      </c>
      <c r="S45" s="10">
        <v>31</v>
      </c>
      <c r="T45" s="12" t="s">
        <v>15</v>
      </c>
      <c r="U45" s="13" t="s">
        <v>16</v>
      </c>
      <c r="V45" s="13" t="s">
        <v>17</v>
      </c>
      <c r="W45" s="161"/>
      <c r="X45" s="154"/>
      <c r="Y45" s="194"/>
      <c r="Z45" s="163"/>
      <c r="AA45" s="165"/>
      <c r="AB45" s="14" t="s">
        <v>15</v>
      </c>
      <c r="AC45" s="12" t="s">
        <v>22</v>
      </c>
      <c r="AD45" s="12" t="s">
        <v>17</v>
      </c>
      <c r="AE45" s="12" t="s">
        <v>18</v>
      </c>
      <c r="AF45" s="203"/>
      <c r="AG45" s="201"/>
    </row>
    <row r="46" spans="1:33" x14ac:dyDescent="0.25">
      <c r="A46" s="57">
        <v>1</v>
      </c>
      <c r="B46" s="71" t="s">
        <v>95</v>
      </c>
      <c r="C46" s="198">
        <v>6</v>
      </c>
      <c r="D46" s="15" t="e">
        <f>IF('001'!D46+Рабочие!D37+#REF!+#REF!+SDLG!D36+#REF!+#REF!+#REF!+#REF!+#REF!+#REF!+#REF!+#REF!+#REF!+#REF!+#REF!+#REF!+#REF!+'18'!D46+#REF!+#REF!+#REF!+#REF!,'001'!D46+Рабочие!D37+#REF!+#REF!+SDLG!D36+#REF!+#REF!+#REF!+#REF!+#REF!+#REF!+#REF!+#REF!+#REF!+#REF!+#REF!+#REF!+#REF!+'18'!D46+#REF!+#REF!+#REF!+#REF!," ")</f>
        <v>#REF!</v>
      </c>
      <c r="E46" s="15" t="e">
        <f>IF('001'!E46+Рабочие!E37+#REF!+#REF!+SDLG!E36+#REF!+#REF!+#REF!+#REF!+#REF!+#REF!+#REF!+#REF!+#REF!+#REF!+#REF!+#REF!+#REF!+'18'!E46+#REF!+#REF!+#REF!+#REF!,'001'!E46+Рабочие!E37+#REF!+#REF!+SDLG!E36+#REF!+#REF!+#REF!+#REF!+#REF!+#REF!+#REF!+#REF!+#REF!+#REF!+#REF!+#REF!+#REF!+'18'!E46+#REF!+#REF!+#REF!+#REF!," ")</f>
        <v>#REF!</v>
      </c>
      <c r="F46" s="15" t="e">
        <f>IF('001'!F46+Рабочие!F37+#REF!+#REF!+SDLG!F36+#REF!+#REF!+#REF!+#REF!+#REF!+#REF!+#REF!+#REF!+#REF!+#REF!+#REF!+#REF!+#REF!+'18'!F46+#REF!+#REF!+#REF!+#REF!,'001'!F46+Рабочие!F37+#REF!+#REF!+SDLG!F36+#REF!+#REF!+#REF!+#REF!+#REF!+#REF!+#REF!+#REF!+#REF!+#REF!+#REF!+#REF!+#REF!+'18'!F46+#REF!+#REF!+#REF!+#REF!," ")</f>
        <v>#REF!</v>
      </c>
      <c r="G46" s="15" t="e">
        <f>IF('001'!G46+Рабочие!G37+#REF!+#REF!+SDLG!G36+#REF!+#REF!+#REF!+#REF!+#REF!+#REF!+#REF!+#REF!+#REF!+#REF!+#REF!+#REF!+#REF!+'18'!G46+#REF!+#REF!+#REF!+#REF!,'001'!G46+Рабочие!G37+#REF!+#REF!+SDLG!G36+#REF!+#REF!+#REF!+#REF!+#REF!+#REF!+#REF!+#REF!+#REF!+#REF!+#REF!+#REF!+#REF!+'18'!G46+#REF!+#REF!+#REF!+#REF!," ")</f>
        <v>#REF!</v>
      </c>
      <c r="H46" s="15" t="e">
        <f>IF('001'!H46+Рабочие!H37+#REF!+#REF!+SDLG!H36+#REF!+#REF!+#REF!+#REF!+#REF!+#REF!+#REF!+#REF!+#REF!+#REF!+#REF!+#REF!+#REF!+'18'!H46+#REF!+#REF!+#REF!+#REF!,'001'!H46+Рабочие!H37+#REF!+#REF!+SDLG!H36+#REF!+#REF!+#REF!+#REF!+#REF!+#REF!+#REF!+#REF!+#REF!+#REF!+#REF!+#REF!+#REF!+'18'!H46+#REF!+#REF!+#REF!+#REF!," ")</f>
        <v>#REF!</v>
      </c>
      <c r="I46" s="15" t="e">
        <f>IF('001'!I46+Рабочие!I37+#REF!+#REF!+SDLG!I36+#REF!+#REF!+#REF!+#REF!+#REF!+#REF!+#REF!+#REF!+#REF!+#REF!+#REF!+#REF!+#REF!+'18'!I46+#REF!+#REF!+#REF!+#REF!,'001'!I46+Рабочие!I37+#REF!+#REF!+SDLG!I36+#REF!+#REF!+#REF!+#REF!+#REF!+#REF!+#REF!+#REF!+#REF!+#REF!+#REF!+#REF!+#REF!+'18'!I46+#REF!+#REF!+#REF!+#REF!," ")</f>
        <v>#REF!</v>
      </c>
      <c r="J46" s="15" t="e">
        <f>IF('001'!J46+Рабочие!J37+#REF!+#REF!+SDLG!J36+#REF!+#REF!+#REF!+#REF!+#REF!+#REF!+#REF!+#REF!+#REF!+#REF!+#REF!+#REF!+#REF!+'18'!J46+#REF!+#REF!+#REF!+#REF!,'001'!J46+Рабочие!J37+#REF!+#REF!+SDLG!J36+#REF!+#REF!+#REF!+#REF!+#REF!+#REF!+#REF!+#REF!+#REF!+#REF!+#REF!+#REF!+#REF!+'18'!J46+#REF!+#REF!+#REF!+#REF!," ")</f>
        <v>#REF!</v>
      </c>
      <c r="K46" s="15" t="e">
        <f>IF('001'!K46+Рабочие!K37+#REF!+#REF!+SDLG!K36+#REF!+#REF!+#REF!+#REF!+#REF!+#REF!+#REF!+#REF!+#REF!+#REF!+#REF!+#REF!+#REF!+'18'!K46+#REF!+#REF!+#REF!+#REF!,'001'!K46+Рабочие!K37+#REF!+#REF!+SDLG!K36+#REF!+#REF!+#REF!+#REF!+#REF!+#REF!+#REF!+#REF!+#REF!+#REF!+#REF!+#REF!+#REF!+'18'!K46+#REF!+#REF!+#REF!+#REF!," ")</f>
        <v>#REF!</v>
      </c>
      <c r="L46" s="15" t="e">
        <f>IF('001'!L46+Рабочие!L37+#REF!+#REF!+SDLG!L36+#REF!+#REF!+#REF!+#REF!+#REF!+#REF!+#REF!+#REF!+#REF!+#REF!+#REF!+#REF!+#REF!+'18'!L46+#REF!+#REF!+#REF!+#REF!,'001'!L46+Рабочие!L37+#REF!+#REF!+SDLG!L36+#REF!+#REF!+#REF!+#REF!+#REF!+#REF!+#REF!+#REF!+#REF!+#REF!+#REF!+#REF!+#REF!+'18'!L46+#REF!+#REF!+#REF!+#REF!," ")</f>
        <v>#REF!</v>
      </c>
      <c r="M46" s="15" t="e">
        <f>IF('001'!M46+Рабочие!M37+#REF!+#REF!+SDLG!M36+#REF!+#REF!+#REF!+#REF!+#REF!+#REF!+#REF!+#REF!+#REF!+#REF!+#REF!+#REF!+#REF!+'18'!M46+#REF!+#REF!+#REF!+#REF!,'001'!M46+Рабочие!M37+#REF!+#REF!+SDLG!M36+#REF!+#REF!+#REF!+#REF!+#REF!+#REF!+#REF!+#REF!+#REF!+#REF!+#REF!+#REF!+#REF!+'18'!M46+#REF!+#REF!+#REF!+#REF!," ")</f>
        <v>#REF!</v>
      </c>
      <c r="N46" s="15" t="e">
        <f>IF('001'!N46+Рабочие!N37+#REF!+#REF!+SDLG!N36+#REF!+#REF!+#REF!+#REF!+#REF!+#REF!+#REF!+#REF!+#REF!+#REF!+#REF!+#REF!+#REF!+'18'!N46+#REF!+#REF!+#REF!+#REF!,'001'!N46+Рабочие!N37+#REF!+#REF!+SDLG!N36+#REF!+#REF!+#REF!+#REF!+#REF!+#REF!+#REF!+#REF!+#REF!+#REF!+#REF!+#REF!+#REF!+'18'!N46+#REF!+#REF!+#REF!+#REF!," ")</f>
        <v>#REF!</v>
      </c>
      <c r="O46" s="15" t="e">
        <f>IF('001'!O46+Рабочие!O37+#REF!+#REF!+SDLG!O36+#REF!+#REF!+#REF!+#REF!+#REF!+#REF!+#REF!+#REF!+#REF!+#REF!+#REF!+#REF!+#REF!+'18'!O46+#REF!+#REF!+#REF!+#REF!,'001'!O46+Рабочие!O37+#REF!+#REF!+SDLG!O36+#REF!+#REF!+#REF!+#REF!+#REF!+#REF!+#REF!+#REF!+#REF!+#REF!+#REF!+#REF!+#REF!+'18'!O46+#REF!+#REF!+#REF!+#REF!," ")</f>
        <v>#REF!</v>
      </c>
      <c r="P46" s="15" t="e">
        <f>IF('001'!P46+Рабочие!P37+#REF!+#REF!+SDLG!P36+#REF!+#REF!+#REF!+#REF!+#REF!+#REF!+#REF!+#REF!+#REF!+#REF!+#REF!+#REF!+#REF!+'18'!P46+#REF!+#REF!+#REF!+#REF!,'001'!P46+Рабочие!P37+#REF!+#REF!+SDLG!P36+#REF!+#REF!+#REF!+#REF!+#REF!+#REF!+#REF!+#REF!+#REF!+#REF!+#REF!+#REF!+#REF!+'18'!P46+#REF!+#REF!+#REF!+#REF!," ")</f>
        <v>#REF!</v>
      </c>
      <c r="Q46" s="15" t="e">
        <f>IF('001'!Q46+Рабочие!Q37+#REF!+#REF!+SDLG!Q36+#REF!+#REF!+#REF!+#REF!+#REF!+#REF!+#REF!+#REF!+#REF!+#REF!+#REF!+#REF!+#REF!+'18'!Q46+#REF!+#REF!+#REF!+#REF!,'001'!Q46+Рабочие!Q37+#REF!+#REF!+SDLG!Q36+#REF!+#REF!+#REF!+#REF!+#REF!+#REF!+#REF!+#REF!+#REF!+#REF!+#REF!+#REF!+#REF!+'18'!Q46+#REF!+#REF!+#REF!+#REF!," ")</f>
        <v>#REF!</v>
      </c>
      <c r="R46" s="15" t="e">
        <f>IF('001'!R46+Рабочие!R37+#REF!+#REF!+SDLG!R36+#REF!+#REF!+#REF!+#REF!+#REF!+#REF!+#REF!+#REF!+#REF!+#REF!+#REF!+#REF!+#REF!+'18'!R46+#REF!+#REF!+#REF!+#REF!,'001'!R46+Рабочие!R37+#REF!+#REF!+SDLG!R36+#REF!+#REF!+#REF!+#REF!+#REF!+#REF!+#REF!+#REF!+#REF!+#REF!+#REF!+#REF!+#REF!+'18'!R46+#REF!+#REF!+#REF!+#REF!," ")</f>
        <v>#REF!</v>
      </c>
      <c r="S46" s="15" t="e">
        <f>IF('001'!S46+Рабочие!S37+#REF!+#REF!+SDLG!S36+#REF!+#REF!+#REF!+#REF!+#REF!+#REF!+#REF!+#REF!+#REF!+#REF!+#REF!+#REF!+#REF!+'18'!S46+#REF!+#REF!+#REF!+#REF!,'001'!S46+Рабочие!S37+#REF!+#REF!+SDLG!S36+#REF!+#REF!+#REF!+#REF!+#REF!+#REF!+#REF!+#REF!+#REF!+#REF!+#REF!+#REF!+#REF!+'18'!S46+#REF!+#REF!+#REF!+#REF!," ")</f>
        <v>#REF!</v>
      </c>
      <c r="T46" s="69" t="e">
        <f>SUM(D46:S47)</f>
        <v>#REF!</v>
      </c>
      <c r="U46" s="57"/>
      <c r="V46" s="57"/>
      <c r="W46" s="155"/>
      <c r="X46" s="69"/>
      <c r="Y46" s="115" t="s">
        <v>75</v>
      </c>
      <c r="Z46" s="57"/>
      <c r="AA46" s="57"/>
      <c r="AB46" s="57"/>
      <c r="AC46" s="57"/>
      <c r="AD46" s="57"/>
      <c r="AE46" s="57"/>
      <c r="AF46" s="57"/>
      <c r="AG46" s="113" t="e">
        <f>AE94</f>
        <v>#REF!</v>
      </c>
    </row>
    <row r="47" spans="1:33" x14ac:dyDescent="0.25">
      <c r="A47" s="58"/>
      <c r="B47" s="72"/>
      <c r="C47" s="199"/>
      <c r="D47" s="15" t="e">
        <f>IF('001'!D47+Рабочие!D38+#REF!+#REF!+SDLG!D37+#REF!+#REF!+#REF!+#REF!+#REF!+#REF!+#REF!+#REF!+#REF!+#REF!+#REF!+#REF!+#REF!+'18'!D47+#REF!+#REF!+#REF!+#REF!,'001'!D47+Рабочие!D38+#REF!+#REF!+SDLG!D37+#REF!+#REF!+#REF!+#REF!+#REF!+#REF!+#REF!+#REF!+#REF!+#REF!+#REF!+#REF!+#REF!+'18'!D47+#REF!+#REF!+#REF!+#REF!," ")</f>
        <v>#REF!</v>
      </c>
      <c r="E47" s="15" t="e">
        <f>IF('001'!E47+Рабочие!E38+#REF!+#REF!+SDLG!E37+#REF!+#REF!+#REF!+#REF!+#REF!+#REF!+#REF!+#REF!+#REF!+#REF!+#REF!+#REF!+#REF!+'18'!E47+#REF!+#REF!+#REF!+#REF!,'001'!E47+Рабочие!E38+#REF!+#REF!+SDLG!E37+#REF!+#REF!+#REF!+#REF!+#REF!+#REF!+#REF!+#REF!+#REF!+#REF!+#REF!+#REF!+#REF!+'18'!E47+#REF!+#REF!+#REF!+#REF!," ")</f>
        <v>#REF!</v>
      </c>
      <c r="F47" s="15" t="e">
        <f>IF('001'!F47+Рабочие!F38+#REF!+#REF!+SDLG!F37+#REF!+#REF!+#REF!+#REF!+#REF!+#REF!+#REF!+#REF!+#REF!+#REF!+#REF!+#REF!+#REF!+'18'!F47+#REF!+#REF!+#REF!+#REF!,'001'!F47+Рабочие!F38+#REF!+#REF!+SDLG!F37+#REF!+#REF!+#REF!+#REF!+#REF!+#REF!+#REF!+#REF!+#REF!+#REF!+#REF!+#REF!+#REF!+'18'!F47+#REF!+#REF!+#REF!+#REF!," ")</f>
        <v>#REF!</v>
      </c>
      <c r="G47" s="15" t="e">
        <f>IF('001'!G47+Рабочие!G38+#REF!+#REF!+SDLG!G37+#REF!+#REF!+#REF!+#REF!+#REF!+#REF!+#REF!+#REF!+#REF!+#REF!+#REF!+#REF!+#REF!+'18'!G47+#REF!+#REF!+#REF!+#REF!,'001'!G47+Рабочие!G38+#REF!+#REF!+SDLG!G37+#REF!+#REF!+#REF!+#REF!+#REF!+#REF!+#REF!+#REF!+#REF!+#REF!+#REF!+#REF!+#REF!+'18'!G47+#REF!+#REF!+#REF!+#REF!," ")</f>
        <v>#REF!</v>
      </c>
      <c r="H47" s="15" t="e">
        <f>IF('001'!H47+Рабочие!H38+#REF!+#REF!+SDLG!H37+#REF!+#REF!+#REF!+#REF!+#REF!+#REF!+#REF!+#REF!+#REF!+#REF!+#REF!+#REF!+#REF!+'18'!H47+#REF!+#REF!+#REF!+#REF!,'001'!H47+Рабочие!H38+#REF!+#REF!+SDLG!H37+#REF!+#REF!+#REF!+#REF!+#REF!+#REF!+#REF!+#REF!+#REF!+#REF!+#REF!+#REF!+#REF!+'18'!H47+#REF!+#REF!+#REF!+#REF!," ")</f>
        <v>#REF!</v>
      </c>
      <c r="I47" s="15" t="e">
        <f>IF('001'!I47+Рабочие!I38+#REF!+#REF!+SDLG!I37+#REF!+#REF!+#REF!+#REF!+#REF!+#REF!+#REF!+#REF!+#REF!+#REF!+#REF!+#REF!+#REF!+'18'!I47+#REF!+#REF!+#REF!+#REF!,'001'!I47+Рабочие!I38+#REF!+#REF!+SDLG!I37+#REF!+#REF!+#REF!+#REF!+#REF!+#REF!+#REF!+#REF!+#REF!+#REF!+#REF!+#REF!+#REF!+'18'!I47+#REF!+#REF!+#REF!+#REF!," ")</f>
        <v>#REF!</v>
      </c>
      <c r="J47" s="15" t="e">
        <f>IF('001'!J47+Рабочие!J38+#REF!+#REF!+SDLG!J37+#REF!+#REF!+#REF!+#REF!+#REF!+#REF!+#REF!+#REF!+#REF!+#REF!+#REF!+#REF!+#REF!+'18'!J47+#REF!+#REF!+#REF!+#REF!,'001'!J47+Рабочие!J38+#REF!+#REF!+SDLG!J37+#REF!+#REF!+#REF!+#REF!+#REF!+#REF!+#REF!+#REF!+#REF!+#REF!+#REF!+#REF!+#REF!+'18'!J47+#REF!+#REF!+#REF!+#REF!," ")</f>
        <v>#REF!</v>
      </c>
      <c r="K47" s="15" t="e">
        <f>IF('001'!K47+Рабочие!K38+#REF!+#REF!+SDLG!K37+#REF!+#REF!+#REF!+#REF!+#REF!+#REF!+#REF!+#REF!+#REF!+#REF!+#REF!+#REF!+#REF!+'18'!K47+#REF!+#REF!+#REF!+#REF!,'001'!K47+Рабочие!K38+#REF!+#REF!+SDLG!K37+#REF!+#REF!+#REF!+#REF!+#REF!+#REF!+#REF!+#REF!+#REF!+#REF!+#REF!+#REF!+#REF!+'18'!K47+#REF!+#REF!+#REF!+#REF!," ")</f>
        <v>#REF!</v>
      </c>
      <c r="L47" s="15" t="e">
        <f>IF('001'!L47+Рабочие!L38+#REF!+#REF!+SDLG!L37+#REF!+#REF!+#REF!+#REF!+#REF!+#REF!+#REF!+#REF!+#REF!+#REF!+#REF!+#REF!+#REF!+'18'!L47+#REF!+#REF!+#REF!+#REF!,'001'!L47+Рабочие!L38+#REF!+#REF!+SDLG!L37+#REF!+#REF!+#REF!+#REF!+#REF!+#REF!+#REF!+#REF!+#REF!+#REF!+#REF!+#REF!+#REF!+'18'!L47+#REF!+#REF!+#REF!+#REF!," ")</f>
        <v>#REF!</v>
      </c>
      <c r="M47" s="15" t="e">
        <f>IF('001'!M47+Рабочие!M38+#REF!+#REF!+SDLG!M37+#REF!+#REF!+#REF!+#REF!+#REF!+#REF!+#REF!+#REF!+#REF!+#REF!+#REF!+#REF!+#REF!+'18'!M47+#REF!+#REF!+#REF!+#REF!,'001'!M47+Рабочие!M38+#REF!+#REF!+SDLG!M37+#REF!+#REF!+#REF!+#REF!+#REF!+#REF!+#REF!+#REF!+#REF!+#REF!+#REF!+#REF!+#REF!+'18'!M47+#REF!+#REF!+#REF!+#REF!," ")</f>
        <v>#REF!</v>
      </c>
      <c r="N47" s="15" t="e">
        <f>IF('001'!N47+Рабочие!N38+#REF!+#REF!+SDLG!N37+#REF!+#REF!+#REF!+#REF!+#REF!+#REF!+#REF!+#REF!+#REF!+#REF!+#REF!+#REF!+#REF!+'18'!N47+#REF!+#REF!+#REF!+#REF!,'001'!N47+Рабочие!N38+#REF!+#REF!+SDLG!N37+#REF!+#REF!+#REF!+#REF!+#REF!+#REF!+#REF!+#REF!+#REF!+#REF!+#REF!+#REF!+#REF!+'18'!N47+#REF!+#REF!+#REF!+#REF!," ")</f>
        <v>#REF!</v>
      </c>
      <c r="O47" s="15" t="e">
        <f>IF('001'!O47+Рабочие!O38+#REF!+#REF!+SDLG!O37+#REF!+#REF!+#REF!+#REF!+#REF!+#REF!+#REF!+#REF!+#REF!+#REF!+#REF!+#REF!+#REF!+'18'!O47+#REF!+#REF!+#REF!+#REF!,'001'!O47+Рабочие!O38+#REF!+#REF!+SDLG!O37+#REF!+#REF!+#REF!+#REF!+#REF!+#REF!+#REF!+#REF!+#REF!+#REF!+#REF!+#REF!+#REF!+'18'!O47+#REF!+#REF!+#REF!+#REF!," ")</f>
        <v>#REF!</v>
      </c>
      <c r="P47" s="15" t="e">
        <f>IF('001'!P47+Рабочие!P38+#REF!+#REF!+SDLG!P37+#REF!+#REF!+#REF!+#REF!+#REF!+#REF!+#REF!+#REF!+#REF!+#REF!+#REF!+#REF!+#REF!+'18'!P47+#REF!+#REF!+#REF!+#REF!,'001'!P47+Рабочие!P38+#REF!+#REF!+SDLG!P37+#REF!+#REF!+#REF!+#REF!+#REF!+#REF!+#REF!+#REF!+#REF!+#REF!+#REF!+#REF!+#REF!+'18'!P47+#REF!+#REF!+#REF!+#REF!," ")</f>
        <v>#REF!</v>
      </c>
      <c r="Q47" s="15" t="e">
        <f>IF('001'!Q47+Рабочие!Q38+#REF!+#REF!+SDLG!Q37+#REF!+#REF!+#REF!+#REF!+#REF!+#REF!+#REF!+#REF!+#REF!+#REF!+#REF!+#REF!+#REF!+'18'!Q47+#REF!+#REF!+#REF!+#REF!,'001'!Q47+Рабочие!Q38+#REF!+#REF!+SDLG!Q37+#REF!+#REF!+#REF!+#REF!+#REF!+#REF!+#REF!+#REF!+#REF!+#REF!+#REF!+#REF!+#REF!+'18'!Q47+#REF!+#REF!+#REF!+#REF!," ")</f>
        <v>#REF!</v>
      </c>
      <c r="R47" s="15" t="e">
        <f>IF('001'!R47+Рабочие!R38+#REF!+#REF!+SDLG!R37+#REF!+#REF!+#REF!+#REF!+#REF!+#REF!+#REF!+#REF!+#REF!+#REF!+#REF!+#REF!+#REF!+'18'!R47+#REF!+#REF!+#REF!+#REF!,'001'!R47+Рабочие!R38+#REF!+#REF!+SDLG!R37+#REF!+#REF!+#REF!+#REF!+#REF!+#REF!+#REF!+#REF!+#REF!+#REF!+#REF!+#REF!+#REF!+'18'!R47+#REF!+#REF!+#REF!+#REF!," ")</f>
        <v>#REF!</v>
      </c>
      <c r="S47" s="15" t="e">
        <f>IF('001'!S47+Рабочие!S38+#REF!+#REF!+SDLG!S37+#REF!+#REF!+#REF!+#REF!+#REF!+#REF!+#REF!+#REF!+#REF!+#REF!+#REF!+#REF!+#REF!+'18'!S47+#REF!+#REF!+#REF!+#REF!,'001'!S47+Рабочие!S38+#REF!+#REF!+SDLG!S37+#REF!+#REF!+#REF!+#REF!+#REF!+#REF!+#REF!+#REF!+#REF!+#REF!+#REF!+#REF!+#REF!+'18'!S47+#REF!+#REF!+#REF!+#REF!," ")</f>
        <v>#REF!</v>
      </c>
      <c r="T47" s="70"/>
      <c r="U47" s="58"/>
      <c r="V47" s="58"/>
      <c r="W47" s="156"/>
      <c r="X47" s="70"/>
      <c r="Y47" s="116"/>
      <c r="Z47" s="58"/>
      <c r="AA47" s="58"/>
      <c r="AB47" s="58"/>
      <c r="AC47" s="58"/>
      <c r="AD47" s="58"/>
      <c r="AE47" s="58"/>
      <c r="AF47" s="58"/>
      <c r="AG47" s="114"/>
    </row>
    <row r="48" spans="1:33" x14ac:dyDescent="0.25">
      <c r="A48" s="57">
        <v>2</v>
      </c>
      <c r="B48" s="71" t="s">
        <v>53</v>
      </c>
      <c r="C48" s="63">
        <v>6</v>
      </c>
      <c r="D48" s="15" t="e">
        <f>IF('001'!D48+Рабочие!D39+#REF!+#REF!+SDLG!#REF!+#REF!+#REF!+#REF!+#REF!+#REF!+#REF!+#REF!+#REF!+#REF!+#REF!+#REF!+#REF!+#REF!+'18'!D48+#REF!+#REF!+#REF!+#REF!,'001'!D48+Рабочие!D39+#REF!+#REF!+SDLG!#REF!+#REF!+#REF!+#REF!+#REF!+#REF!+#REF!+#REF!+#REF!+#REF!+#REF!+#REF!+#REF!+#REF!+'18'!D48+#REF!+#REF!+#REF!+#REF!," ")</f>
        <v>#REF!</v>
      </c>
      <c r="E48" s="15" t="e">
        <f>IF('001'!E48+Рабочие!E39+#REF!+#REF!+SDLG!#REF!+#REF!+#REF!+#REF!+#REF!+#REF!+#REF!+#REF!+#REF!+#REF!+#REF!+#REF!+#REF!+#REF!+'18'!E48+#REF!+#REF!+#REF!+#REF!,'001'!E48+Рабочие!E39+#REF!+#REF!+SDLG!#REF!+#REF!+#REF!+#REF!+#REF!+#REF!+#REF!+#REF!+#REF!+#REF!+#REF!+#REF!+#REF!+#REF!+'18'!E48+#REF!+#REF!+#REF!+#REF!," ")</f>
        <v>#REF!</v>
      </c>
      <c r="F48" s="15" t="e">
        <f>IF('001'!F48+Рабочие!F39+#REF!+#REF!+SDLG!#REF!+#REF!+#REF!+#REF!+#REF!+#REF!+#REF!+#REF!+#REF!+#REF!+#REF!+#REF!+#REF!+#REF!+'18'!F48+#REF!+#REF!+#REF!+#REF!,'001'!F48+Рабочие!F39+#REF!+#REF!+SDLG!#REF!+#REF!+#REF!+#REF!+#REF!+#REF!+#REF!+#REF!+#REF!+#REF!+#REF!+#REF!+#REF!+#REF!+'18'!F48+#REF!+#REF!+#REF!+#REF!," ")</f>
        <v>#REF!</v>
      </c>
      <c r="G48" s="15" t="e">
        <f>IF('001'!G48+Рабочие!G39+#REF!+#REF!+SDLG!#REF!+#REF!+#REF!+#REF!+#REF!+#REF!+#REF!+#REF!+#REF!+#REF!+#REF!+#REF!+#REF!+#REF!+'18'!G48+#REF!+#REF!+#REF!+#REF!,'001'!G48+Рабочие!G39+#REF!+#REF!+SDLG!#REF!+#REF!+#REF!+#REF!+#REF!+#REF!+#REF!+#REF!+#REF!+#REF!+#REF!+#REF!+#REF!+#REF!+'18'!G48+#REF!+#REF!+#REF!+#REF!," ")</f>
        <v>#REF!</v>
      </c>
      <c r="H48" s="15" t="e">
        <f>IF('001'!H48+Рабочие!H39+#REF!+#REF!+SDLG!#REF!+#REF!+#REF!+#REF!+#REF!+#REF!+#REF!+#REF!+#REF!+#REF!+#REF!+#REF!+#REF!+#REF!+'18'!H48+#REF!+#REF!+#REF!+#REF!,'001'!H48+Рабочие!H39+#REF!+#REF!+SDLG!#REF!+#REF!+#REF!+#REF!+#REF!+#REF!+#REF!+#REF!+#REF!+#REF!+#REF!+#REF!+#REF!+#REF!+'18'!H48+#REF!+#REF!+#REF!+#REF!," ")</f>
        <v>#REF!</v>
      </c>
      <c r="I48" s="15" t="e">
        <f>IF('001'!I48+Рабочие!I39+#REF!+#REF!+SDLG!#REF!+#REF!+#REF!+#REF!+#REF!+#REF!+#REF!+#REF!+#REF!+#REF!+#REF!+#REF!+#REF!+#REF!+'18'!I48+#REF!+#REF!+#REF!+#REF!,'001'!I48+Рабочие!I39+#REF!+#REF!+SDLG!#REF!+#REF!+#REF!+#REF!+#REF!+#REF!+#REF!+#REF!+#REF!+#REF!+#REF!+#REF!+#REF!+#REF!+'18'!I48+#REF!+#REF!+#REF!+#REF!," ")</f>
        <v>#REF!</v>
      </c>
      <c r="J48" s="15" t="e">
        <f>IF('001'!J48+Рабочие!J39+#REF!+#REF!+SDLG!#REF!+#REF!+#REF!+#REF!+#REF!+#REF!+#REF!+#REF!+#REF!+#REF!+#REF!+#REF!+#REF!+#REF!+'18'!J48+#REF!+#REF!+#REF!+#REF!,'001'!J48+Рабочие!J39+#REF!+#REF!+SDLG!#REF!+#REF!+#REF!+#REF!+#REF!+#REF!+#REF!+#REF!+#REF!+#REF!+#REF!+#REF!+#REF!+#REF!+'18'!J48+#REF!+#REF!+#REF!+#REF!," ")</f>
        <v>#REF!</v>
      </c>
      <c r="K48" s="15" t="e">
        <f>IF('001'!K48+Рабочие!K39+#REF!+#REF!+SDLG!#REF!+#REF!+#REF!+#REF!+#REF!+#REF!+#REF!+#REF!+#REF!+#REF!+#REF!+#REF!+#REF!+#REF!+'18'!K48+#REF!+#REF!+#REF!+#REF!,'001'!K48+Рабочие!K39+#REF!+#REF!+SDLG!#REF!+#REF!+#REF!+#REF!+#REF!+#REF!+#REF!+#REF!+#REF!+#REF!+#REF!+#REF!+#REF!+#REF!+'18'!K48+#REF!+#REF!+#REF!+#REF!," ")</f>
        <v>#REF!</v>
      </c>
      <c r="L48" s="15" t="e">
        <f>IF('001'!L48+Рабочие!L39+#REF!+#REF!+SDLG!#REF!+#REF!+#REF!+#REF!+#REF!+#REF!+#REF!+#REF!+#REF!+#REF!+#REF!+#REF!+#REF!+#REF!+'18'!L48+#REF!+#REF!+#REF!+#REF!,'001'!L48+Рабочие!L39+#REF!+#REF!+SDLG!#REF!+#REF!+#REF!+#REF!+#REF!+#REF!+#REF!+#REF!+#REF!+#REF!+#REF!+#REF!+#REF!+#REF!+'18'!L48+#REF!+#REF!+#REF!+#REF!," ")</f>
        <v>#REF!</v>
      </c>
      <c r="M48" s="15" t="e">
        <f>IF('001'!M48+Рабочие!M39+#REF!+#REF!+SDLG!#REF!+#REF!+#REF!+#REF!+#REF!+#REF!+#REF!+#REF!+#REF!+#REF!+#REF!+#REF!+#REF!+#REF!+'18'!M48+#REF!+#REF!+#REF!+#REF!,'001'!M48+Рабочие!M39+#REF!+#REF!+SDLG!#REF!+#REF!+#REF!+#REF!+#REF!+#REF!+#REF!+#REF!+#REF!+#REF!+#REF!+#REF!+#REF!+#REF!+'18'!M48+#REF!+#REF!+#REF!+#REF!," ")</f>
        <v>#REF!</v>
      </c>
      <c r="N48" s="15" t="e">
        <f>IF('001'!N48+Рабочие!N39+#REF!+#REF!+SDLG!#REF!+#REF!+#REF!+#REF!+#REF!+#REF!+#REF!+#REF!+#REF!+#REF!+#REF!+#REF!+#REF!+#REF!+'18'!N48+#REF!+#REF!+#REF!+#REF!,'001'!N48+Рабочие!N39+#REF!+#REF!+SDLG!#REF!+#REF!+#REF!+#REF!+#REF!+#REF!+#REF!+#REF!+#REF!+#REF!+#REF!+#REF!+#REF!+#REF!+'18'!N48+#REF!+#REF!+#REF!+#REF!," ")</f>
        <v>#REF!</v>
      </c>
      <c r="O48" s="15" t="e">
        <f>IF('001'!O48+Рабочие!O39+#REF!+#REF!+SDLG!#REF!+#REF!+#REF!+#REF!+#REF!+#REF!+#REF!+#REF!+#REF!+#REF!+#REF!+#REF!+#REF!+#REF!+'18'!O48+#REF!+#REF!+#REF!+#REF!,'001'!O48+Рабочие!O39+#REF!+#REF!+SDLG!#REF!+#REF!+#REF!+#REF!+#REF!+#REF!+#REF!+#REF!+#REF!+#REF!+#REF!+#REF!+#REF!+#REF!+'18'!O48+#REF!+#REF!+#REF!+#REF!," ")</f>
        <v>#REF!</v>
      </c>
      <c r="P48" s="15" t="e">
        <f>IF('001'!P48+Рабочие!P39+#REF!+#REF!+SDLG!#REF!+#REF!+#REF!+#REF!+#REF!+#REF!+#REF!+#REF!+#REF!+#REF!+#REF!+#REF!+#REF!+#REF!+'18'!P48+#REF!+#REF!+#REF!+#REF!,'001'!P48+Рабочие!P39+#REF!+#REF!+SDLG!#REF!+#REF!+#REF!+#REF!+#REF!+#REF!+#REF!+#REF!+#REF!+#REF!+#REF!+#REF!+#REF!+#REF!+'18'!P48+#REF!+#REF!+#REF!+#REF!," ")</f>
        <v>#REF!</v>
      </c>
      <c r="Q48" s="15" t="e">
        <f>IF('001'!Q48+Рабочие!Q39+#REF!+#REF!+SDLG!#REF!+#REF!+#REF!+#REF!+#REF!+#REF!+#REF!+#REF!+#REF!+#REF!+#REF!+#REF!+#REF!+#REF!+'18'!Q48+#REF!+#REF!+#REF!+#REF!,'001'!Q48+Рабочие!Q39+#REF!+#REF!+SDLG!#REF!+#REF!+#REF!+#REF!+#REF!+#REF!+#REF!+#REF!+#REF!+#REF!+#REF!+#REF!+#REF!+#REF!+'18'!Q48+#REF!+#REF!+#REF!+#REF!," ")</f>
        <v>#REF!</v>
      </c>
      <c r="R48" s="15" t="e">
        <f>IF('001'!R48+Рабочие!R39+#REF!+#REF!+SDLG!#REF!+#REF!+#REF!+#REF!+#REF!+#REF!+#REF!+#REF!+#REF!+#REF!+#REF!+#REF!+#REF!+#REF!+'18'!R48+#REF!+#REF!+#REF!+#REF!,'001'!R48+Рабочие!R39+#REF!+#REF!+SDLG!#REF!+#REF!+#REF!+#REF!+#REF!+#REF!+#REF!+#REF!+#REF!+#REF!+#REF!+#REF!+#REF!+#REF!+'18'!R48+#REF!+#REF!+#REF!+#REF!," ")</f>
        <v>#REF!</v>
      </c>
      <c r="S48" s="15" t="e">
        <f>IF('001'!S48+Рабочие!S39+#REF!+#REF!+SDLG!#REF!+#REF!+#REF!+#REF!+#REF!+#REF!+#REF!+#REF!+#REF!+#REF!+#REF!+#REF!+#REF!+#REF!+'18'!S48+#REF!+#REF!+#REF!+#REF!,'001'!S48+Рабочие!S39+#REF!+#REF!+SDLG!#REF!+#REF!+#REF!+#REF!+#REF!+#REF!+#REF!+#REF!+#REF!+#REF!+#REF!+#REF!+#REF!+#REF!+'18'!S48+#REF!+#REF!+#REF!+#REF!," ")</f>
        <v>#REF!</v>
      </c>
      <c r="T48" s="69" t="e">
        <f>SUM(D48:S49)</f>
        <v>#REF!</v>
      </c>
      <c r="U48" s="57"/>
      <c r="V48" s="57"/>
      <c r="W48" s="57"/>
      <c r="X48" s="57"/>
      <c r="Y48" s="115" t="s">
        <v>75</v>
      </c>
      <c r="Z48" s="57"/>
      <c r="AA48" s="57"/>
      <c r="AB48" s="57"/>
      <c r="AC48" s="57"/>
      <c r="AD48" s="57"/>
      <c r="AE48" s="57"/>
      <c r="AF48" s="57"/>
      <c r="AG48" s="113" t="e">
        <f>AE95</f>
        <v>#REF!</v>
      </c>
    </row>
    <row r="49" spans="1:33" x14ac:dyDescent="0.25">
      <c r="A49" s="58"/>
      <c r="B49" s="72"/>
      <c r="C49" s="64"/>
      <c r="D49" s="15" t="e">
        <f>IF('001'!D49+Рабочие!D40+#REF!+#REF!+SDLG!#REF!+#REF!+#REF!+#REF!+#REF!+#REF!+#REF!+#REF!+#REF!+#REF!+#REF!+#REF!+#REF!+#REF!+'18'!D49+#REF!+#REF!+#REF!+#REF!,'001'!D49+Рабочие!D40+#REF!+#REF!+SDLG!#REF!+#REF!+#REF!+#REF!+#REF!+#REF!+#REF!+#REF!+#REF!+#REF!+#REF!+#REF!+#REF!+#REF!+'18'!D49+#REF!+#REF!+#REF!+#REF!," ")</f>
        <v>#REF!</v>
      </c>
      <c r="E49" s="15" t="e">
        <f>IF('001'!E49+Рабочие!E40+#REF!+#REF!+SDLG!#REF!+#REF!+#REF!+#REF!+#REF!+#REF!+#REF!+#REF!+#REF!+#REF!+#REF!+#REF!+#REF!+#REF!+'18'!E49+#REF!+#REF!+#REF!+#REF!,'001'!E49+Рабочие!E40+#REF!+#REF!+SDLG!#REF!+#REF!+#REF!+#REF!+#REF!+#REF!+#REF!+#REF!+#REF!+#REF!+#REF!+#REF!+#REF!+#REF!+'18'!E49+#REF!+#REF!+#REF!+#REF!," ")</f>
        <v>#REF!</v>
      </c>
      <c r="F49" s="15" t="e">
        <f>IF('001'!F49+Рабочие!F40+#REF!+#REF!+SDLG!#REF!+#REF!+#REF!+#REF!+#REF!+#REF!+#REF!+#REF!+#REF!+#REF!+#REF!+#REF!+#REF!+#REF!+'18'!F49+#REF!+#REF!+#REF!+#REF!,'001'!F49+Рабочие!F40+#REF!+#REF!+SDLG!#REF!+#REF!+#REF!+#REF!+#REF!+#REF!+#REF!+#REF!+#REF!+#REF!+#REF!+#REF!+#REF!+#REF!+'18'!F49+#REF!+#REF!+#REF!+#REF!," ")</f>
        <v>#REF!</v>
      </c>
      <c r="G49" s="15" t="e">
        <f>IF('001'!G49+Рабочие!G40+#REF!+#REF!+SDLG!#REF!+#REF!+#REF!+#REF!+#REF!+#REF!+#REF!+#REF!+#REF!+#REF!+#REF!+#REF!+#REF!+#REF!+'18'!G49+#REF!+#REF!+#REF!+#REF!,'001'!G49+Рабочие!G40+#REF!+#REF!+SDLG!#REF!+#REF!+#REF!+#REF!+#REF!+#REF!+#REF!+#REF!+#REF!+#REF!+#REF!+#REF!+#REF!+#REF!+'18'!G49+#REF!+#REF!+#REF!+#REF!," ")</f>
        <v>#REF!</v>
      </c>
      <c r="H49" s="15" t="e">
        <f>IF('001'!H49+Рабочие!H40+#REF!+#REF!+SDLG!#REF!+#REF!+#REF!+#REF!+#REF!+#REF!+#REF!+#REF!+#REF!+#REF!+#REF!+#REF!+#REF!+#REF!+'18'!H49+#REF!+#REF!+#REF!+#REF!,'001'!H49+Рабочие!H40+#REF!+#REF!+SDLG!#REF!+#REF!+#REF!+#REF!+#REF!+#REF!+#REF!+#REF!+#REF!+#REF!+#REF!+#REF!+#REF!+#REF!+'18'!H49+#REF!+#REF!+#REF!+#REF!," ")</f>
        <v>#REF!</v>
      </c>
      <c r="I49" s="15" t="e">
        <f>IF('001'!I49+Рабочие!I40+#REF!+#REF!+SDLG!#REF!+#REF!+#REF!+#REF!+#REF!+#REF!+#REF!+#REF!+#REF!+#REF!+#REF!+#REF!+#REF!+#REF!+'18'!I49+#REF!+#REF!+#REF!+#REF!,'001'!I49+Рабочие!I40+#REF!+#REF!+SDLG!#REF!+#REF!+#REF!+#REF!+#REF!+#REF!+#REF!+#REF!+#REF!+#REF!+#REF!+#REF!+#REF!+#REF!+'18'!I49+#REF!+#REF!+#REF!+#REF!," ")</f>
        <v>#REF!</v>
      </c>
      <c r="J49" s="15" t="e">
        <f>IF('001'!J49+Рабочие!J40+#REF!+#REF!+SDLG!#REF!+#REF!+#REF!+#REF!+#REF!+#REF!+#REF!+#REF!+#REF!+#REF!+#REF!+#REF!+#REF!+#REF!+'18'!J49+#REF!+#REF!+#REF!+#REF!,'001'!J49+Рабочие!J40+#REF!+#REF!+SDLG!#REF!+#REF!+#REF!+#REF!+#REF!+#REF!+#REF!+#REF!+#REF!+#REF!+#REF!+#REF!+#REF!+#REF!+'18'!J49+#REF!+#REF!+#REF!+#REF!," ")</f>
        <v>#REF!</v>
      </c>
      <c r="K49" s="15" t="e">
        <f>IF('001'!K49+Рабочие!K40+#REF!+#REF!+SDLG!#REF!+#REF!+#REF!+#REF!+#REF!+#REF!+#REF!+#REF!+#REF!+#REF!+#REF!+#REF!+#REF!+#REF!+'18'!K49+#REF!+#REF!+#REF!+#REF!,'001'!K49+Рабочие!K40+#REF!+#REF!+SDLG!#REF!+#REF!+#REF!+#REF!+#REF!+#REF!+#REF!+#REF!+#REF!+#REF!+#REF!+#REF!+#REF!+#REF!+'18'!K49+#REF!+#REF!+#REF!+#REF!," ")</f>
        <v>#REF!</v>
      </c>
      <c r="L49" s="15" t="e">
        <f>IF('001'!L49+Рабочие!L40+#REF!+#REF!+SDLG!#REF!+#REF!+#REF!+#REF!+#REF!+#REF!+#REF!+#REF!+#REF!+#REF!+#REF!+#REF!+#REF!+#REF!+'18'!L49+#REF!+#REF!+#REF!+#REF!,'001'!L49+Рабочие!L40+#REF!+#REF!+SDLG!#REF!+#REF!+#REF!+#REF!+#REF!+#REF!+#REF!+#REF!+#REF!+#REF!+#REF!+#REF!+#REF!+#REF!+'18'!L49+#REF!+#REF!+#REF!+#REF!," ")</f>
        <v>#REF!</v>
      </c>
      <c r="M49" s="15" t="e">
        <f>IF('001'!M49+Рабочие!M40+#REF!+#REF!+SDLG!#REF!+#REF!+#REF!+#REF!+#REF!+#REF!+#REF!+#REF!+#REF!+#REF!+#REF!+#REF!+#REF!+#REF!+'18'!M49+#REF!+#REF!+#REF!+#REF!,'001'!M49+Рабочие!M40+#REF!+#REF!+SDLG!#REF!+#REF!+#REF!+#REF!+#REF!+#REF!+#REF!+#REF!+#REF!+#REF!+#REF!+#REF!+#REF!+#REF!+'18'!M49+#REF!+#REF!+#REF!+#REF!," ")</f>
        <v>#REF!</v>
      </c>
      <c r="N49" s="15" t="e">
        <f>IF('001'!N49+Рабочие!N40+#REF!+#REF!+SDLG!#REF!+#REF!+#REF!+#REF!+#REF!+#REF!+#REF!+#REF!+#REF!+#REF!+#REF!+#REF!+#REF!+#REF!+'18'!N49+#REF!+#REF!+#REF!+#REF!,'001'!N49+Рабочие!N40+#REF!+#REF!+SDLG!#REF!+#REF!+#REF!+#REF!+#REF!+#REF!+#REF!+#REF!+#REF!+#REF!+#REF!+#REF!+#REF!+#REF!+'18'!N49+#REF!+#REF!+#REF!+#REF!," ")</f>
        <v>#REF!</v>
      </c>
      <c r="O49" s="15" t="e">
        <f>IF('001'!O49+Рабочие!O40+#REF!+#REF!+SDLG!#REF!+#REF!+#REF!+#REF!+#REF!+#REF!+#REF!+#REF!+#REF!+#REF!+#REF!+#REF!+#REF!+#REF!+'18'!O49+#REF!+#REF!+#REF!+#REF!,'001'!O49+Рабочие!O40+#REF!+#REF!+SDLG!#REF!+#REF!+#REF!+#REF!+#REF!+#REF!+#REF!+#REF!+#REF!+#REF!+#REF!+#REF!+#REF!+#REF!+'18'!O49+#REF!+#REF!+#REF!+#REF!," ")</f>
        <v>#REF!</v>
      </c>
      <c r="P49" s="15" t="e">
        <f>IF('001'!P49+Рабочие!P40+#REF!+#REF!+SDLG!#REF!+#REF!+#REF!+#REF!+#REF!+#REF!+#REF!+#REF!+#REF!+#REF!+#REF!+#REF!+#REF!+#REF!+'18'!P49+#REF!+#REF!+#REF!+#REF!,'001'!P49+Рабочие!P40+#REF!+#REF!+SDLG!#REF!+#REF!+#REF!+#REF!+#REF!+#REF!+#REF!+#REF!+#REF!+#REF!+#REF!+#REF!+#REF!+#REF!+'18'!P49+#REF!+#REF!+#REF!+#REF!," ")</f>
        <v>#REF!</v>
      </c>
      <c r="Q49" s="15" t="e">
        <f>IF('001'!Q49+Рабочие!Q40+#REF!+#REF!+SDLG!#REF!+#REF!+#REF!+#REF!+#REF!+#REF!+#REF!+#REF!+#REF!+#REF!+#REF!+#REF!+#REF!+#REF!+'18'!Q49+#REF!+#REF!+#REF!+#REF!,'001'!Q49+Рабочие!Q40+#REF!+#REF!+SDLG!#REF!+#REF!+#REF!+#REF!+#REF!+#REF!+#REF!+#REF!+#REF!+#REF!+#REF!+#REF!+#REF!+#REF!+'18'!Q49+#REF!+#REF!+#REF!+#REF!," ")</f>
        <v>#REF!</v>
      </c>
      <c r="R49" s="15" t="e">
        <f>IF('001'!R49+Рабочие!R40+#REF!+#REF!+SDLG!#REF!+#REF!+#REF!+#REF!+#REF!+#REF!+#REF!+#REF!+#REF!+#REF!+#REF!+#REF!+#REF!+#REF!+'18'!R49+#REF!+#REF!+#REF!+#REF!,'001'!R49+Рабочие!R40+#REF!+#REF!+SDLG!#REF!+#REF!+#REF!+#REF!+#REF!+#REF!+#REF!+#REF!+#REF!+#REF!+#REF!+#REF!+#REF!+#REF!+'18'!R49+#REF!+#REF!+#REF!+#REF!," ")</f>
        <v>#REF!</v>
      </c>
      <c r="S49" s="15" t="e">
        <f>IF('001'!S49+Рабочие!S40+#REF!+#REF!+SDLG!#REF!+#REF!+#REF!+#REF!+#REF!+#REF!+#REF!+#REF!+#REF!+#REF!+#REF!+#REF!+#REF!+#REF!+'18'!S49+#REF!+#REF!+#REF!+#REF!,'001'!S49+Рабочие!S40+#REF!+#REF!+SDLG!#REF!+#REF!+#REF!+#REF!+#REF!+#REF!+#REF!+#REF!+#REF!+#REF!+#REF!+#REF!+#REF!+#REF!+'18'!S49+#REF!+#REF!+#REF!+#REF!," ")</f>
        <v>#REF!</v>
      </c>
      <c r="T49" s="70"/>
      <c r="U49" s="58"/>
      <c r="V49" s="58"/>
      <c r="W49" s="58"/>
      <c r="X49" s="58"/>
      <c r="Y49" s="116"/>
      <c r="Z49" s="58"/>
      <c r="AA49" s="58"/>
      <c r="AB49" s="58"/>
      <c r="AC49" s="58"/>
      <c r="AD49" s="58"/>
      <c r="AE49" s="58"/>
      <c r="AF49" s="58"/>
      <c r="AG49" s="114"/>
    </row>
    <row r="50" spans="1:33" x14ac:dyDescent="0.25">
      <c r="A50" s="57">
        <v>3</v>
      </c>
      <c r="B50" s="71" t="s">
        <v>55</v>
      </c>
      <c r="C50" s="63">
        <v>6</v>
      </c>
      <c r="D50" s="15" t="e">
        <f>IF('001'!D50+Рабочие!D41+#REF!+#REF!+SDLG!#REF!+#REF!+#REF!+#REF!+#REF!+#REF!+#REF!+#REF!+#REF!+#REF!+#REF!+#REF!+#REF!+#REF!+'18'!D50+#REF!+#REF!+#REF!+#REF!,'001'!D50+Рабочие!D41+#REF!+#REF!+SDLG!#REF!+#REF!+#REF!+#REF!+#REF!+#REF!+#REF!+#REF!+#REF!+#REF!+#REF!+#REF!+#REF!+#REF!+'18'!D50+#REF!+#REF!+#REF!+#REF!," ")</f>
        <v>#REF!</v>
      </c>
      <c r="E50" s="15" t="e">
        <f>IF('001'!E50+Рабочие!E41+#REF!+#REF!+SDLG!#REF!+#REF!+#REF!+#REF!+#REF!+#REF!+#REF!+#REF!+#REF!+#REF!+#REF!+#REF!+#REF!+#REF!+'18'!E50+#REF!+#REF!+#REF!+#REF!,'001'!E50+Рабочие!E41+#REF!+#REF!+SDLG!#REF!+#REF!+#REF!+#REF!+#REF!+#REF!+#REF!+#REF!+#REF!+#REF!+#REF!+#REF!+#REF!+#REF!+'18'!E50+#REF!+#REF!+#REF!+#REF!," ")</f>
        <v>#REF!</v>
      </c>
      <c r="F50" s="15" t="e">
        <f>IF('001'!F50+Рабочие!F41+#REF!+#REF!+SDLG!#REF!+#REF!+#REF!+#REF!+#REF!+#REF!+#REF!+#REF!+#REF!+#REF!+#REF!+#REF!+#REF!+#REF!+'18'!F50+#REF!+#REF!+#REF!+#REF!,'001'!F50+Рабочие!F41+#REF!+#REF!+SDLG!#REF!+#REF!+#REF!+#REF!+#REF!+#REF!+#REF!+#REF!+#REF!+#REF!+#REF!+#REF!+#REF!+#REF!+'18'!F50+#REF!+#REF!+#REF!+#REF!," ")</f>
        <v>#REF!</v>
      </c>
      <c r="G50" s="15" t="e">
        <f>IF('001'!G50+Рабочие!G41+#REF!+#REF!+SDLG!#REF!+#REF!+#REF!+#REF!+#REF!+#REF!+#REF!+#REF!+#REF!+#REF!+#REF!+#REF!+#REF!+#REF!+'18'!G50+#REF!+#REF!+#REF!+#REF!,'001'!G50+Рабочие!G41+#REF!+#REF!+SDLG!#REF!+#REF!+#REF!+#REF!+#REF!+#REF!+#REF!+#REF!+#REF!+#REF!+#REF!+#REF!+#REF!+#REF!+'18'!G50+#REF!+#REF!+#REF!+#REF!," ")</f>
        <v>#REF!</v>
      </c>
      <c r="H50" s="15" t="e">
        <f>IF('001'!H50+Рабочие!H41+#REF!+#REF!+SDLG!#REF!+#REF!+#REF!+#REF!+#REF!+#REF!+#REF!+#REF!+#REF!+#REF!+#REF!+#REF!+#REF!+#REF!+'18'!H50+#REF!+#REF!+#REF!+#REF!,'001'!H50+Рабочие!H41+#REF!+#REF!+SDLG!#REF!+#REF!+#REF!+#REF!+#REF!+#REF!+#REF!+#REF!+#REF!+#REF!+#REF!+#REF!+#REF!+#REF!+'18'!H50+#REF!+#REF!+#REF!+#REF!," ")</f>
        <v>#REF!</v>
      </c>
      <c r="I50" s="15" t="e">
        <f>IF('001'!I50+Рабочие!I41+#REF!+#REF!+SDLG!#REF!+#REF!+#REF!+#REF!+#REF!+#REF!+#REF!+#REF!+#REF!+#REF!+#REF!+#REF!+#REF!+#REF!+'18'!I50+#REF!+#REF!+#REF!+#REF!,'001'!I50+Рабочие!I41+#REF!+#REF!+SDLG!#REF!+#REF!+#REF!+#REF!+#REF!+#REF!+#REF!+#REF!+#REF!+#REF!+#REF!+#REF!+#REF!+#REF!+'18'!I50+#REF!+#REF!+#REF!+#REF!," ")</f>
        <v>#REF!</v>
      </c>
      <c r="J50" s="15" t="e">
        <f>IF('001'!J50+Рабочие!J41+#REF!+#REF!+SDLG!#REF!+#REF!+#REF!+#REF!+#REF!+#REF!+#REF!+#REF!+#REF!+#REF!+#REF!+#REF!+#REF!+#REF!+'18'!J50+#REF!+#REF!+#REF!+#REF!,'001'!J50+Рабочие!J41+#REF!+#REF!+SDLG!#REF!+#REF!+#REF!+#REF!+#REF!+#REF!+#REF!+#REF!+#REF!+#REF!+#REF!+#REF!+#REF!+#REF!+'18'!J50+#REF!+#REF!+#REF!+#REF!," ")</f>
        <v>#REF!</v>
      </c>
      <c r="K50" s="15" t="e">
        <f>IF('001'!K50+Рабочие!K41+#REF!+#REF!+SDLG!#REF!+#REF!+#REF!+#REF!+#REF!+#REF!+#REF!+#REF!+#REF!+#REF!+#REF!+#REF!+#REF!+#REF!+'18'!K50+#REF!+#REF!+#REF!+#REF!,'001'!K50+Рабочие!K41+#REF!+#REF!+SDLG!#REF!+#REF!+#REF!+#REF!+#REF!+#REF!+#REF!+#REF!+#REF!+#REF!+#REF!+#REF!+#REF!+#REF!+'18'!K50+#REF!+#REF!+#REF!+#REF!," ")</f>
        <v>#REF!</v>
      </c>
      <c r="L50" s="15" t="e">
        <f>IF('001'!L50+Рабочие!L41+#REF!+#REF!+SDLG!#REF!+#REF!+#REF!+#REF!+#REF!+#REF!+#REF!+#REF!+#REF!+#REF!+#REF!+#REF!+#REF!+#REF!+'18'!L50+#REF!+#REF!+#REF!+#REF!,'001'!L50+Рабочие!L41+#REF!+#REF!+SDLG!#REF!+#REF!+#REF!+#REF!+#REF!+#REF!+#REF!+#REF!+#REF!+#REF!+#REF!+#REF!+#REF!+#REF!+'18'!L50+#REF!+#REF!+#REF!+#REF!," ")</f>
        <v>#REF!</v>
      </c>
      <c r="M50" s="15" t="e">
        <f>IF('001'!M50+Рабочие!M41+#REF!+#REF!+SDLG!#REF!+#REF!+#REF!+#REF!+#REF!+#REF!+#REF!+#REF!+#REF!+#REF!+#REF!+#REF!+#REF!+#REF!+'18'!M50+#REF!+#REF!+#REF!+#REF!,'001'!M50+Рабочие!M41+#REF!+#REF!+SDLG!#REF!+#REF!+#REF!+#REF!+#REF!+#REF!+#REF!+#REF!+#REF!+#REF!+#REF!+#REF!+#REF!+#REF!+'18'!M50+#REF!+#REF!+#REF!+#REF!," ")</f>
        <v>#REF!</v>
      </c>
      <c r="N50" s="15" t="e">
        <f>IF('001'!N50+Рабочие!N41+#REF!+#REF!+SDLG!#REF!+#REF!+#REF!+#REF!+#REF!+#REF!+#REF!+#REF!+#REF!+#REF!+#REF!+#REF!+#REF!+#REF!+'18'!N50+#REF!+#REF!+#REF!+#REF!,'001'!N50+Рабочие!N41+#REF!+#REF!+SDLG!#REF!+#REF!+#REF!+#REF!+#REF!+#REF!+#REF!+#REF!+#REF!+#REF!+#REF!+#REF!+#REF!+#REF!+'18'!N50+#REF!+#REF!+#REF!+#REF!," ")</f>
        <v>#REF!</v>
      </c>
      <c r="O50" s="15" t="e">
        <f>IF('001'!O50+Рабочие!O41+#REF!+#REF!+SDLG!#REF!+#REF!+#REF!+#REF!+#REF!+#REF!+#REF!+#REF!+#REF!+#REF!+#REF!+#REF!+#REF!+#REF!+'18'!O50+#REF!+#REF!+#REF!+#REF!,'001'!O50+Рабочие!O41+#REF!+#REF!+SDLG!#REF!+#REF!+#REF!+#REF!+#REF!+#REF!+#REF!+#REF!+#REF!+#REF!+#REF!+#REF!+#REF!+#REF!+'18'!O50+#REF!+#REF!+#REF!+#REF!," ")</f>
        <v>#REF!</v>
      </c>
      <c r="P50" s="15" t="e">
        <f>IF('001'!P50+Рабочие!P41+#REF!+#REF!+SDLG!#REF!+#REF!+#REF!+#REF!+#REF!+#REF!+#REF!+#REF!+#REF!+#REF!+#REF!+#REF!+#REF!+#REF!+'18'!P50+#REF!+#REF!+#REF!+#REF!,'001'!P50+Рабочие!P41+#REF!+#REF!+SDLG!#REF!+#REF!+#REF!+#REF!+#REF!+#REF!+#REF!+#REF!+#REF!+#REF!+#REF!+#REF!+#REF!+#REF!+'18'!P50+#REF!+#REF!+#REF!+#REF!," ")</f>
        <v>#REF!</v>
      </c>
      <c r="Q50" s="15" t="e">
        <f>IF('001'!Q50+Рабочие!Q41+#REF!+#REF!+SDLG!#REF!+#REF!+#REF!+#REF!+#REF!+#REF!+#REF!+#REF!+#REF!+#REF!+#REF!+#REF!+#REF!+#REF!+'18'!Q50+#REF!+#REF!+#REF!+#REF!,'001'!Q50+Рабочие!Q41+#REF!+#REF!+SDLG!#REF!+#REF!+#REF!+#REF!+#REF!+#REF!+#REF!+#REF!+#REF!+#REF!+#REF!+#REF!+#REF!+#REF!+'18'!Q50+#REF!+#REF!+#REF!+#REF!," ")</f>
        <v>#REF!</v>
      </c>
      <c r="R50" s="15" t="e">
        <f>IF('001'!R50+Рабочие!R41+#REF!+#REF!+SDLG!#REF!+#REF!+#REF!+#REF!+#REF!+#REF!+#REF!+#REF!+#REF!+#REF!+#REF!+#REF!+#REF!+#REF!+'18'!R50+#REF!+#REF!+#REF!+#REF!,'001'!R50+Рабочие!R41+#REF!+#REF!+SDLG!#REF!+#REF!+#REF!+#REF!+#REF!+#REF!+#REF!+#REF!+#REF!+#REF!+#REF!+#REF!+#REF!+#REF!+'18'!R50+#REF!+#REF!+#REF!+#REF!," ")</f>
        <v>#REF!</v>
      </c>
      <c r="S50" s="15" t="e">
        <f>IF('001'!S50+Рабочие!S41+#REF!+#REF!+SDLG!#REF!+#REF!+#REF!+#REF!+#REF!+#REF!+#REF!+#REF!+#REF!+#REF!+#REF!+#REF!+#REF!+#REF!+'18'!S50+#REF!+#REF!+#REF!+#REF!,'001'!S50+Рабочие!S41+#REF!+#REF!+SDLG!#REF!+#REF!+#REF!+#REF!+#REF!+#REF!+#REF!+#REF!+#REF!+#REF!+#REF!+#REF!+#REF!+#REF!+'18'!S50+#REF!+#REF!+#REF!+#REF!," ")</f>
        <v>#REF!</v>
      </c>
      <c r="T50" s="69" t="e">
        <f>SUM(D50:S51)</f>
        <v>#REF!</v>
      </c>
      <c r="U50" s="57"/>
      <c r="V50" s="57"/>
      <c r="W50" s="57"/>
      <c r="X50" s="57"/>
      <c r="Y50" s="115" t="s">
        <v>75</v>
      </c>
      <c r="Z50" s="57"/>
      <c r="AA50" s="57"/>
      <c r="AB50" s="57"/>
      <c r="AC50" s="57"/>
      <c r="AD50" s="57"/>
      <c r="AE50" s="57"/>
      <c r="AF50" s="57"/>
      <c r="AG50" s="113" t="e">
        <f>AE96</f>
        <v>#REF!</v>
      </c>
    </row>
    <row r="51" spans="1:33" x14ac:dyDescent="0.25">
      <c r="A51" s="58"/>
      <c r="B51" s="72"/>
      <c r="C51" s="64"/>
      <c r="D51" s="15" t="e">
        <f>IF('001'!D51+Рабочие!D42+#REF!+#REF!+SDLG!#REF!+#REF!+#REF!+#REF!+#REF!+#REF!+#REF!+#REF!+#REF!+#REF!+#REF!+#REF!+#REF!+#REF!+'18'!D51+#REF!+#REF!+#REF!+#REF!,'001'!D51+Рабочие!D42+#REF!+#REF!+SDLG!#REF!+#REF!+#REF!+#REF!+#REF!+#REF!+#REF!+#REF!+#REF!+#REF!+#REF!+#REF!+#REF!+#REF!+'18'!D51+#REF!+#REF!+#REF!+#REF!," ")</f>
        <v>#REF!</v>
      </c>
      <c r="E51" s="15" t="e">
        <f>IF('001'!E51+Рабочие!E42+#REF!+#REF!+SDLG!#REF!+#REF!+#REF!+#REF!+#REF!+#REF!+#REF!+#REF!+#REF!+#REF!+#REF!+#REF!+#REF!+#REF!+'18'!E51+#REF!+#REF!+#REF!+#REF!,'001'!E51+Рабочие!E42+#REF!+#REF!+SDLG!#REF!+#REF!+#REF!+#REF!+#REF!+#REF!+#REF!+#REF!+#REF!+#REF!+#REF!+#REF!+#REF!+#REF!+'18'!E51+#REF!+#REF!+#REF!+#REF!," ")</f>
        <v>#REF!</v>
      </c>
      <c r="F51" s="15" t="e">
        <f>IF('001'!F51+Рабочие!F42+#REF!+#REF!+SDLG!#REF!+#REF!+#REF!+#REF!+#REF!+#REF!+#REF!+#REF!+#REF!+#REF!+#REF!+#REF!+#REF!+#REF!+'18'!F51+#REF!+#REF!+#REF!+#REF!,'001'!F51+Рабочие!F42+#REF!+#REF!+SDLG!#REF!+#REF!+#REF!+#REF!+#REF!+#REF!+#REF!+#REF!+#REF!+#REF!+#REF!+#REF!+#REF!+#REF!+'18'!F51+#REF!+#REF!+#REF!+#REF!," ")</f>
        <v>#REF!</v>
      </c>
      <c r="G51" s="15" t="e">
        <f>IF('001'!G51+Рабочие!G42+#REF!+#REF!+SDLG!#REF!+#REF!+#REF!+#REF!+#REF!+#REF!+#REF!+#REF!+#REF!+#REF!+#REF!+#REF!+#REF!+#REF!+'18'!G51+#REF!+#REF!+#REF!+#REF!,'001'!G51+Рабочие!G42+#REF!+#REF!+SDLG!#REF!+#REF!+#REF!+#REF!+#REF!+#REF!+#REF!+#REF!+#REF!+#REF!+#REF!+#REF!+#REF!+#REF!+'18'!G51+#REF!+#REF!+#REF!+#REF!," ")</f>
        <v>#REF!</v>
      </c>
      <c r="H51" s="15" t="e">
        <f>IF('001'!H51+Рабочие!H42+#REF!+#REF!+SDLG!#REF!+#REF!+#REF!+#REF!+#REF!+#REF!+#REF!+#REF!+#REF!+#REF!+#REF!+#REF!+#REF!+#REF!+'18'!H51+#REF!+#REF!+#REF!+#REF!,'001'!H51+Рабочие!H42+#REF!+#REF!+SDLG!#REF!+#REF!+#REF!+#REF!+#REF!+#REF!+#REF!+#REF!+#REF!+#REF!+#REF!+#REF!+#REF!+#REF!+'18'!H51+#REF!+#REF!+#REF!+#REF!," ")</f>
        <v>#REF!</v>
      </c>
      <c r="I51" s="15" t="e">
        <f>IF('001'!I51+Рабочие!I42+#REF!+#REF!+SDLG!#REF!+#REF!+#REF!+#REF!+#REF!+#REF!+#REF!+#REF!+#REF!+#REF!+#REF!+#REF!+#REF!+#REF!+'18'!I51+#REF!+#REF!+#REF!+#REF!,'001'!I51+Рабочие!I42+#REF!+#REF!+SDLG!#REF!+#REF!+#REF!+#REF!+#REF!+#REF!+#REF!+#REF!+#REF!+#REF!+#REF!+#REF!+#REF!+#REF!+'18'!I51+#REF!+#REF!+#REF!+#REF!," ")</f>
        <v>#REF!</v>
      </c>
      <c r="J51" s="15" t="e">
        <f>IF('001'!J51+Рабочие!J42+#REF!+#REF!+SDLG!#REF!+#REF!+#REF!+#REF!+#REF!+#REF!+#REF!+#REF!+#REF!+#REF!+#REF!+#REF!+#REF!+#REF!+'18'!J51+#REF!+#REF!+#REF!+#REF!,'001'!J51+Рабочие!J42+#REF!+#REF!+SDLG!#REF!+#REF!+#REF!+#REF!+#REF!+#REF!+#REF!+#REF!+#REF!+#REF!+#REF!+#REF!+#REF!+#REF!+'18'!J51+#REF!+#REF!+#REF!+#REF!," ")</f>
        <v>#REF!</v>
      </c>
      <c r="K51" s="15" t="e">
        <f>IF('001'!K51+Рабочие!K42+#REF!+#REF!+SDLG!#REF!+#REF!+#REF!+#REF!+#REF!+#REF!+#REF!+#REF!+#REF!+#REF!+#REF!+#REF!+#REF!+#REF!+'18'!K51+#REF!+#REF!+#REF!+#REF!,'001'!K51+Рабочие!K42+#REF!+#REF!+SDLG!#REF!+#REF!+#REF!+#REF!+#REF!+#REF!+#REF!+#REF!+#REF!+#REF!+#REF!+#REF!+#REF!+#REF!+'18'!K51+#REF!+#REF!+#REF!+#REF!," ")</f>
        <v>#REF!</v>
      </c>
      <c r="L51" s="15" t="e">
        <f>IF('001'!L51+Рабочие!L42+#REF!+#REF!+SDLG!#REF!+#REF!+#REF!+#REF!+#REF!+#REF!+#REF!+#REF!+#REF!+#REF!+#REF!+#REF!+#REF!+#REF!+'18'!L51+#REF!+#REF!+#REF!+#REF!,'001'!L51+Рабочие!L42+#REF!+#REF!+SDLG!#REF!+#REF!+#REF!+#REF!+#REF!+#REF!+#REF!+#REF!+#REF!+#REF!+#REF!+#REF!+#REF!+#REF!+'18'!L51+#REF!+#REF!+#REF!+#REF!," ")</f>
        <v>#REF!</v>
      </c>
      <c r="M51" s="15" t="e">
        <f>IF('001'!M51+Рабочие!M42+#REF!+#REF!+SDLG!#REF!+#REF!+#REF!+#REF!+#REF!+#REF!+#REF!+#REF!+#REF!+#REF!+#REF!+#REF!+#REF!+#REF!+'18'!M51+#REF!+#REF!+#REF!+#REF!,'001'!M51+Рабочие!M42+#REF!+#REF!+SDLG!#REF!+#REF!+#REF!+#REF!+#REF!+#REF!+#REF!+#REF!+#REF!+#REF!+#REF!+#REF!+#REF!+#REF!+'18'!M51+#REF!+#REF!+#REF!+#REF!," ")</f>
        <v>#REF!</v>
      </c>
      <c r="N51" s="15" t="e">
        <f>IF('001'!N51+Рабочие!N42+#REF!+#REF!+SDLG!#REF!+#REF!+#REF!+#REF!+#REF!+#REF!+#REF!+#REF!+#REF!+#REF!+#REF!+#REF!+#REF!+#REF!+'18'!N51+#REF!+#REF!+#REF!+#REF!,'001'!N51+Рабочие!N42+#REF!+#REF!+SDLG!#REF!+#REF!+#REF!+#REF!+#REF!+#REF!+#REF!+#REF!+#REF!+#REF!+#REF!+#REF!+#REF!+#REF!+'18'!N51+#REF!+#REF!+#REF!+#REF!," ")</f>
        <v>#REF!</v>
      </c>
      <c r="O51" s="15" t="e">
        <f>IF('001'!O51+Рабочие!O42+#REF!+#REF!+SDLG!#REF!+#REF!+#REF!+#REF!+#REF!+#REF!+#REF!+#REF!+#REF!+#REF!+#REF!+#REF!+#REF!+#REF!+'18'!O51+#REF!+#REF!+#REF!+#REF!,'001'!O51+Рабочие!O42+#REF!+#REF!+SDLG!#REF!+#REF!+#REF!+#REF!+#REF!+#REF!+#REF!+#REF!+#REF!+#REF!+#REF!+#REF!+#REF!+#REF!+'18'!O51+#REF!+#REF!+#REF!+#REF!," ")</f>
        <v>#REF!</v>
      </c>
      <c r="P51" s="15" t="e">
        <f>IF('001'!P51+Рабочие!P42+#REF!+#REF!+SDLG!#REF!+#REF!+#REF!+#REF!+#REF!+#REF!+#REF!+#REF!+#REF!+#REF!+#REF!+#REF!+#REF!+#REF!+'18'!P51+#REF!+#REF!+#REF!+#REF!,'001'!P51+Рабочие!P42+#REF!+#REF!+SDLG!#REF!+#REF!+#REF!+#REF!+#REF!+#REF!+#REF!+#REF!+#REF!+#REF!+#REF!+#REF!+#REF!+#REF!+'18'!P51+#REF!+#REF!+#REF!+#REF!," ")</f>
        <v>#REF!</v>
      </c>
      <c r="Q51" s="15" t="e">
        <f>IF('001'!Q51+Рабочие!Q42+#REF!+#REF!+SDLG!#REF!+#REF!+#REF!+#REF!+#REF!+#REF!+#REF!+#REF!+#REF!+#REF!+#REF!+#REF!+#REF!+#REF!+'18'!Q51+#REF!+#REF!+#REF!+#REF!,'001'!Q51+Рабочие!Q42+#REF!+#REF!+SDLG!#REF!+#REF!+#REF!+#REF!+#REF!+#REF!+#REF!+#REF!+#REF!+#REF!+#REF!+#REF!+#REF!+#REF!+'18'!Q51+#REF!+#REF!+#REF!+#REF!," ")</f>
        <v>#REF!</v>
      </c>
      <c r="R51" s="15" t="e">
        <f>IF('001'!R51+Рабочие!R42+#REF!+#REF!+SDLG!#REF!+#REF!+#REF!+#REF!+#REF!+#REF!+#REF!+#REF!+#REF!+#REF!+#REF!+#REF!+#REF!+#REF!+'18'!R51+#REF!+#REF!+#REF!+#REF!,'001'!R51+Рабочие!R42+#REF!+#REF!+SDLG!#REF!+#REF!+#REF!+#REF!+#REF!+#REF!+#REF!+#REF!+#REF!+#REF!+#REF!+#REF!+#REF!+#REF!+'18'!R51+#REF!+#REF!+#REF!+#REF!," ")</f>
        <v>#REF!</v>
      </c>
      <c r="S51" s="15" t="e">
        <f>IF('001'!S51+Рабочие!S42+#REF!+#REF!+SDLG!#REF!+#REF!+#REF!+#REF!+#REF!+#REF!+#REF!+#REF!+#REF!+#REF!+#REF!+#REF!+#REF!+#REF!+'18'!S51+#REF!+#REF!+#REF!+#REF!,'001'!S51+Рабочие!S42+#REF!+#REF!+SDLG!#REF!+#REF!+#REF!+#REF!+#REF!+#REF!+#REF!+#REF!+#REF!+#REF!+#REF!+#REF!+#REF!+#REF!+'18'!S51+#REF!+#REF!+#REF!+#REF!," ")</f>
        <v>#REF!</v>
      </c>
      <c r="T51" s="70"/>
      <c r="U51" s="58"/>
      <c r="V51" s="58"/>
      <c r="W51" s="58"/>
      <c r="X51" s="58"/>
      <c r="Y51" s="116"/>
      <c r="Z51" s="58"/>
      <c r="AA51" s="58"/>
      <c r="AB51" s="58"/>
      <c r="AC51" s="58"/>
      <c r="AD51" s="58"/>
      <c r="AE51" s="58"/>
      <c r="AF51" s="58"/>
      <c r="AG51" s="114"/>
    </row>
    <row r="52" spans="1:33" x14ac:dyDescent="0.25">
      <c r="A52" s="57">
        <v>4</v>
      </c>
      <c r="B52" s="71" t="s">
        <v>54</v>
      </c>
      <c r="C52" s="63">
        <v>5</v>
      </c>
      <c r="D52" s="15" t="e">
        <f>IF('001'!D52+Рабочие!#REF!+#REF!+#REF!+SDLG!#REF!+#REF!+#REF!+#REF!+#REF!+#REF!+#REF!+#REF!+#REF!+#REF!+#REF!+#REF!+#REF!+#REF!+'18'!D52+#REF!+#REF!+#REF!+#REF!,'001'!D52+Рабочие!#REF!+#REF!+#REF!+SDLG!#REF!+#REF!+#REF!+#REF!+#REF!+#REF!+#REF!+#REF!+#REF!+#REF!+#REF!+#REF!+#REF!+#REF!+'18'!D52+#REF!+#REF!+#REF!+#REF!," ")</f>
        <v>#REF!</v>
      </c>
      <c r="E52" s="15" t="e">
        <f>IF('001'!E52+Рабочие!#REF!+#REF!+#REF!+SDLG!#REF!+#REF!+#REF!+#REF!+#REF!+#REF!+#REF!+#REF!+#REF!+#REF!+#REF!+#REF!+#REF!+#REF!+'18'!E52+#REF!+#REF!+#REF!+#REF!,'001'!E52+Рабочие!#REF!+#REF!+#REF!+SDLG!#REF!+#REF!+#REF!+#REF!+#REF!+#REF!+#REF!+#REF!+#REF!+#REF!+#REF!+#REF!+#REF!+#REF!+'18'!E52+#REF!+#REF!+#REF!+#REF!," ")</f>
        <v>#REF!</v>
      </c>
      <c r="F52" s="15" t="e">
        <f>IF('001'!F52+Рабочие!#REF!+#REF!+#REF!+SDLG!#REF!+#REF!+#REF!+#REF!+#REF!+#REF!+#REF!+#REF!+#REF!+#REF!+#REF!+#REF!+#REF!+#REF!+'18'!F52+#REF!+#REF!+#REF!+#REF!,'001'!F52+Рабочие!#REF!+#REF!+#REF!+SDLG!#REF!+#REF!+#REF!+#REF!+#REF!+#REF!+#REF!+#REF!+#REF!+#REF!+#REF!+#REF!+#REF!+#REF!+'18'!F52+#REF!+#REF!+#REF!+#REF!," ")</f>
        <v>#REF!</v>
      </c>
      <c r="G52" s="15" t="e">
        <f>IF('001'!G52+Рабочие!#REF!+#REF!+#REF!+SDLG!#REF!+#REF!+#REF!+#REF!+#REF!+#REF!+#REF!+#REF!+#REF!+#REF!+#REF!+#REF!+#REF!+#REF!+'18'!G52+#REF!+#REF!+#REF!+#REF!,'001'!G52+Рабочие!#REF!+#REF!+#REF!+SDLG!#REF!+#REF!+#REF!+#REF!+#REF!+#REF!+#REF!+#REF!+#REF!+#REF!+#REF!+#REF!+#REF!+#REF!+'18'!G52+#REF!+#REF!+#REF!+#REF!," ")</f>
        <v>#REF!</v>
      </c>
      <c r="H52" s="15" t="e">
        <f>IF('001'!H52+Рабочие!#REF!+#REF!+#REF!+SDLG!#REF!+#REF!+#REF!+#REF!+#REF!+#REF!+#REF!+#REF!+#REF!+#REF!+#REF!+#REF!+#REF!+#REF!+'18'!H52+#REF!+#REF!+#REF!+#REF!,'001'!H52+Рабочие!#REF!+#REF!+#REF!+SDLG!#REF!+#REF!+#REF!+#REF!+#REF!+#REF!+#REF!+#REF!+#REF!+#REF!+#REF!+#REF!+#REF!+#REF!+'18'!H52+#REF!+#REF!+#REF!+#REF!," ")</f>
        <v>#REF!</v>
      </c>
      <c r="I52" s="15" t="e">
        <f>IF('001'!I52+Рабочие!#REF!+#REF!+#REF!+SDLG!#REF!+#REF!+#REF!+#REF!+#REF!+#REF!+#REF!+#REF!+#REF!+#REF!+#REF!+#REF!+#REF!+#REF!+'18'!I52+#REF!+#REF!+#REF!+#REF!,'001'!I52+Рабочие!#REF!+#REF!+#REF!+SDLG!#REF!+#REF!+#REF!+#REF!+#REF!+#REF!+#REF!+#REF!+#REF!+#REF!+#REF!+#REF!+#REF!+#REF!+'18'!I52+#REF!+#REF!+#REF!+#REF!," ")</f>
        <v>#REF!</v>
      </c>
      <c r="J52" s="15" t="e">
        <f>IF('001'!J52+Рабочие!#REF!+#REF!+#REF!+SDLG!#REF!+#REF!+#REF!+#REF!+#REF!+#REF!+#REF!+#REF!+#REF!+#REF!+#REF!+#REF!+#REF!+#REF!+'18'!J52+#REF!+#REF!+#REF!+#REF!,'001'!J52+Рабочие!#REF!+#REF!+#REF!+SDLG!#REF!+#REF!+#REF!+#REF!+#REF!+#REF!+#REF!+#REF!+#REF!+#REF!+#REF!+#REF!+#REF!+#REF!+'18'!J52+#REF!+#REF!+#REF!+#REF!," ")</f>
        <v>#REF!</v>
      </c>
      <c r="K52" s="15" t="e">
        <f>IF('001'!K52+Рабочие!#REF!+#REF!+#REF!+SDLG!#REF!+#REF!+#REF!+#REF!+#REF!+#REF!+#REF!+#REF!+#REF!+#REF!+#REF!+#REF!+#REF!+#REF!+'18'!K52+#REF!+#REF!+#REF!+#REF!,'001'!K52+Рабочие!#REF!+#REF!+#REF!+SDLG!#REF!+#REF!+#REF!+#REF!+#REF!+#REF!+#REF!+#REF!+#REF!+#REF!+#REF!+#REF!+#REF!+#REF!+'18'!K52+#REF!+#REF!+#REF!+#REF!," ")</f>
        <v>#REF!</v>
      </c>
      <c r="L52" s="15" t="e">
        <f>IF('001'!L52+Рабочие!#REF!+#REF!+#REF!+SDLG!#REF!+#REF!+#REF!+#REF!+#REF!+#REF!+#REF!+#REF!+#REF!+#REF!+#REF!+#REF!+#REF!+#REF!+'18'!L52+#REF!+#REF!+#REF!+#REF!,'001'!L52+Рабочие!#REF!+#REF!+#REF!+SDLG!#REF!+#REF!+#REF!+#REF!+#REF!+#REF!+#REF!+#REF!+#REF!+#REF!+#REF!+#REF!+#REF!+#REF!+'18'!L52+#REF!+#REF!+#REF!+#REF!," ")</f>
        <v>#REF!</v>
      </c>
      <c r="M52" s="15" t="e">
        <f>IF('001'!M52+Рабочие!#REF!+#REF!+#REF!+SDLG!#REF!+#REF!+#REF!+#REF!+#REF!+#REF!+#REF!+#REF!+#REF!+#REF!+#REF!+#REF!+#REF!+#REF!+'18'!M52+#REF!+#REF!+#REF!+#REF!,'001'!M52+Рабочие!#REF!+#REF!+#REF!+SDLG!#REF!+#REF!+#REF!+#REF!+#REF!+#REF!+#REF!+#REF!+#REF!+#REF!+#REF!+#REF!+#REF!+#REF!+'18'!M52+#REF!+#REF!+#REF!+#REF!," ")</f>
        <v>#REF!</v>
      </c>
      <c r="N52" s="15" t="e">
        <f>IF('001'!N52+Рабочие!#REF!+#REF!+#REF!+SDLG!#REF!+#REF!+#REF!+#REF!+#REF!+#REF!+#REF!+#REF!+#REF!+#REF!+#REF!+#REF!+#REF!+#REF!+'18'!N52+#REF!+#REF!+#REF!+#REF!,'001'!N52+Рабочие!#REF!+#REF!+#REF!+SDLG!#REF!+#REF!+#REF!+#REF!+#REF!+#REF!+#REF!+#REF!+#REF!+#REF!+#REF!+#REF!+#REF!+#REF!+'18'!N52+#REF!+#REF!+#REF!+#REF!," ")</f>
        <v>#REF!</v>
      </c>
      <c r="O52" s="15" t="e">
        <f>IF('001'!O52+Рабочие!#REF!+#REF!+#REF!+SDLG!#REF!+#REF!+#REF!+#REF!+#REF!+#REF!+#REF!+#REF!+#REF!+#REF!+#REF!+#REF!+#REF!+#REF!+'18'!O52+#REF!+#REF!+#REF!+#REF!,'001'!O52+Рабочие!#REF!+#REF!+#REF!+SDLG!#REF!+#REF!+#REF!+#REF!+#REF!+#REF!+#REF!+#REF!+#REF!+#REF!+#REF!+#REF!+#REF!+#REF!+'18'!O52+#REF!+#REF!+#REF!+#REF!," ")</f>
        <v>#REF!</v>
      </c>
      <c r="P52" s="15" t="e">
        <f>IF('001'!P52+Рабочие!#REF!+#REF!+#REF!+SDLG!#REF!+#REF!+#REF!+#REF!+#REF!+#REF!+#REF!+#REF!+#REF!+#REF!+#REF!+#REF!+#REF!+#REF!+'18'!P52+#REF!+#REF!+#REF!+#REF!,'001'!P52+Рабочие!#REF!+#REF!+#REF!+SDLG!#REF!+#REF!+#REF!+#REF!+#REF!+#REF!+#REF!+#REF!+#REF!+#REF!+#REF!+#REF!+#REF!+#REF!+'18'!P52+#REF!+#REF!+#REF!+#REF!," ")</f>
        <v>#REF!</v>
      </c>
      <c r="Q52" s="15" t="e">
        <f>IF('001'!Q52+Рабочие!#REF!+#REF!+#REF!+SDLG!#REF!+#REF!+#REF!+#REF!+#REF!+#REF!+#REF!+#REF!+#REF!+#REF!+#REF!+#REF!+#REF!+#REF!+'18'!Q52+#REF!+#REF!+#REF!+#REF!,'001'!Q52+Рабочие!#REF!+#REF!+#REF!+SDLG!#REF!+#REF!+#REF!+#REF!+#REF!+#REF!+#REF!+#REF!+#REF!+#REF!+#REF!+#REF!+#REF!+#REF!+'18'!Q52+#REF!+#REF!+#REF!+#REF!," ")</f>
        <v>#REF!</v>
      </c>
      <c r="R52" s="15" t="e">
        <f>IF('001'!R52+Рабочие!#REF!+#REF!+#REF!+SDLG!#REF!+#REF!+#REF!+#REF!+#REF!+#REF!+#REF!+#REF!+#REF!+#REF!+#REF!+#REF!+#REF!+#REF!+'18'!R52+#REF!+#REF!+#REF!+#REF!,'001'!R52+Рабочие!#REF!+#REF!+#REF!+SDLG!#REF!+#REF!+#REF!+#REF!+#REF!+#REF!+#REF!+#REF!+#REF!+#REF!+#REF!+#REF!+#REF!+#REF!+'18'!R52+#REF!+#REF!+#REF!+#REF!," ")</f>
        <v>#REF!</v>
      </c>
      <c r="S52" s="15" t="e">
        <f>IF('001'!S52+Рабочие!#REF!+#REF!+#REF!+SDLG!#REF!+#REF!+#REF!+#REF!+#REF!+#REF!+#REF!+#REF!+#REF!+#REF!+#REF!+#REF!+#REF!+#REF!+'18'!S52+#REF!+#REF!+#REF!+#REF!,'001'!S52+Рабочие!#REF!+#REF!+#REF!+SDLG!#REF!+#REF!+#REF!+#REF!+#REF!+#REF!+#REF!+#REF!+#REF!+#REF!+#REF!+#REF!+#REF!+#REF!+'18'!S52+#REF!+#REF!+#REF!+#REF!," ")</f>
        <v>#REF!</v>
      </c>
      <c r="T52" s="69" t="e">
        <f>SUM(D52:S53)</f>
        <v>#REF!</v>
      </c>
      <c r="U52" s="57"/>
      <c r="V52" s="57"/>
      <c r="W52" s="57"/>
      <c r="X52" s="57"/>
      <c r="Y52" s="115" t="s">
        <v>75</v>
      </c>
      <c r="Z52" s="57"/>
      <c r="AA52" s="57"/>
      <c r="AB52" s="57"/>
      <c r="AC52" s="57"/>
      <c r="AD52" s="57"/>
      <c r="AE52" s="57"/>
      <c r="AF52" s="57"/>
      <c r="AG52" s="113" t="e">
        <f>AE97</f>
        <v>#REF!</v>
      </c>
    </row>
    <row r="53" spans="1:33" x14ac:dyDescent="0.25">
      <c r="A53" s="58"/>
      <c r="B53" s="72"/>
      <c r="C53" s="64"/>
      <c r="D53" s="15" t="e">
        <f>IF('001'!D53+Рабочие!#REF!+#REF!+#REF!+SDLG!#REF!+#REF!+#REF!+#REF!+#REF!+#REF!+#REF!+#REF!+#REF!+#REF!+#REF!+#REF!+#REF!+#REF!+'18'!D53+#REF!+#REF!+#REF!+#REF!,'001'!D53+Рабочие!#REF!+#REF!+#REF!+SDLG!#REF!+#REF!+#REF!+#REF!+#REF!+#REF!+#REF!+#REF!+#REF!+#REF!+#REF!+#REF!+#REF!+#REF!+'18'!D53+#REF!+#REF!+#REF!+#REF!," ")</f>
        <v>#REF!</v>
      </c>
      <c r="E53" s="15" t="e">
        <f>IF('001'!E53+Рабочие!#REF!+#REF!+#REF!+SDLG!#REF!+#REF!+#REF!+#REF!+#REF!+#REF!+#REF!+#REF!+#REF!+#REF!+#REF!+#REF!+#REF!+#REF!+'18'!E53+#REF!+#REF!+#REF!+#REF!,'001'!E53+Рабочие!#REF!+#REF!+#REF!+SDLG!#REF!+#REF!+#REF!+#REF!+#REF!+#REF!+#REF!+#REF!+#REF!+#REF!+#REF!+#REF!+#REF!+#REF!+'18'!E53+#REF!+#REF!+#REF!+#REF!," ")</f>
        <v>#REF!</v>
      </c>
      <c r="F53" s="15" t="e">
        <f>IF('001'!F53+Рабочие!#REF!+#REF!+#REF!+SDLG!#REF!+#REF!+#REF!+#REF!+#REF!+#REF!+#REF!+#REF!+#REF!+#REF!+#REF!+#REF!+#REF!+#REF!+'18'!F53+#REF!+#REF!+#REF!+#REF!,'001'!F53+Рабочие!#REF!+#REF!+#REF!+SDLG!#REF!+#REF!+#REF!+#REF!+#REF!+#REF!+#REF!+#REF!+#REF!+#REF!+#REF!+#REF!+#REF!+#REF!+'18'!F53+#REF!+#REF!+#REF!+#REF!," ")</f>
        <v>#REF!</v>
      </c>
      <c r="G53" s="15" t="e">
        <f>IF('001'!G53+Рабочие!#REF!+#REF!+#REF!+SDLG!#REF!+#REF!+#REF!+#REF!+#REF!+#REF!+#REF!+#REF!+#REF!+#REF!+#REF!+#REF!+#REF!+#REF!+'18'!G53+#REF!+#REF!+#REF!+#REF!,'001'!G53+Рабочие!#REF!+#REF!+#REF!+SDLG!#REF!+#REF!+#REF!+#REF!+#REF!+#REF!+#REF!+#REF!+#REF!+#REF!+#REF!+#REF!+#REF!+#REF!+'18'!G53+#REF!+#REF!+#REF!+#REF!," ")</f>
        <v>#REF!</v>
      </c>
      <c r="H53" s="15" t="e">
        <f>IF('001'!H53+Рабочие!#REF!+#REF!+#REF!+SDLG!#REF!+#REF!+#REF!+#REF!+#REF!+#REF!+#REF!+#REF!+#REF!+#REF!+#REF!+#REF!+#REF!+#REF!+'18'!H53+#REF!+#REF!+#REF!+#REF!,'001'!H53+Рабочие!#REF!+#REF!+#REF!+SDLG!#REF!+#REF!+#REF!+#REF!+#REF!+#REF!+#REF!+#REF!+#REF!+#REF!+#REF!+#REF!+#REF!+#REF!+'18'!H53+#REF!+#REF!+#REF!+#REF!," ")</f>
        <v>#REF!</v>
      </c>
      <c r="I53" s="15" t="e">
        <f>IF('001'!I53+Рабочие!#REF!+#REF!+#REF!+SDLG!#REF!+#REF!+#REF!+#REF!+#REF!+#REF!+#REF!+#REF!+#REF!+#REF!+#REF!+#REF!+#REF!+#REF!+'18'!I53+#REF!+#REF!+#REF!+#REF!,'001'!I53+Рабочие!#REF!+#REF!+#REF!+SDLG!#REF!+#REF!+#REF!+#REF!+#REF!+#REF!+#REF!+#REF!+#REF!+#REF!+#REF!+#REF!+#REF!+#REF!+'18'!I53+#REF!+#REF!+#REF!+#REF!," ")</f>
        <v>#REF!</v>
      </c>
      <c r="J53" s="15" t="e">
        <f>IF('001'!J53+Рабочие!#REF!+#REF!+#REF!+SDLG!#REF!+#REF!+#REF!+#REF!+#REF!+#REF!+#REF!+#REF!+#REF!+#REF!+#REF!+#REF!+#REF!+#REF!+'18'!J53+#REF!+#REF!+#REF!+#REF!,'001'!J53+Рабочие!#REF!+#REF!+#REF!+SDLG!#REF!+#REF!+#REF!+#REF!+#REF!+#REF!+#REF!+#REF!+#REF!+#REF!+#REF!+#REF!+#REF!+#REF!+'18'!J53+#REF!+#REF!+#REF!+#REF!," ")</f>
        <v>#REF!</v>
      </c>
      <c r="K53" s="15" t="e">
        <f>IF('001'!K53+Рабочие!#REF!+#REF!+#REF!+SDLG!#REF!+#REF!+#REF!+#REF!+#REF!+#REF!+#REF!+#REF!+#REF!+#REF!+#REF!+#REF!+#REF!+#REF!+'18'!K53+#REF!+#REF!+#REF!+#REF!,'001'!K53+Рабочие!#REF!+#REF!+#REF!+SDLG!#REF!+#REF!+#REF!+#REF!+#REF!+#REF!+#REF!+#REF!+#REF!+#REF!+#REF!+#REF!+#REF!+#REF!+'18'!K53+#REF!+#REF!+#REF!+#REF!," ")</f>
        <v>#REF!</v>
      </c>
      <c r="L53" s="15" t="e">
        <f>IF('001'!L53+Рабочие!#REF!+#REF!+#REF!+SDLG!#REF!+#REF!+#REF!+#REF!+#REF!+#REF!+#REF!+#REF!+#REF!+#REF!+#REF!+#REF!+#REF!+#REF!+'18'!L53+#REF!+#REF!+#REF!+#REF!,'001'!L53+Рабочие!#REF!+#REF!+#REF!+SDLG!#REF!+#REF!+#REF!+#REF!+#REF!+#REF!+#REF!+#REF!+#REF!+#REF!+#REF!+#REF!+#REF!+#REF!+'18'!L53+#REF!+#REF!+#REF!+#REF!," ")</f>
        <v>#REF!</v>
      </c>
      <c r="M53" s="15" t="e">
        <f>IF('001'!M53+Рабочие!#REF!+#REF!+#REF!+SDLG!#REF!+#REF!+#REF!+#REF!+#REF!+#REF!+#REF!+#REF!+#REF!+#REF!+#REF!+#REF!+#REF!+#REF!+'18'!M53+#REF!+#REF!+#REF!+#REF!,'001'!M53+Рабочие!#REF!+#REF!+#REF!+SDLG!#REF!+#REF!+#REF!+#REF!+#REF!+#REF!+#REF!+#REF!+#REF!+#REF!+#REF!+#REF!+#REF!+#REF!+'18'!M53+#REF!+#REF!+#REF!+#REF!," ")</f>
        <v>#REF!</v>
      </c>
      <c r="N53" s="15" t="e">
        <f>IF('001'!N53+Рабочие!#REF!+#REF!+#REF!+SDLG!#REF!+#REF!+#REF!+#REF!+#REF!+#REF!+#REF!+#REF!+#REF!+#REF!+#REF!+#REF!+#REF!+#REF!+'18'!N53+#REF!+#REF!+#REF!+#REF!,'001'!N53+Рабочие!#REF!+#REF!+#REF!+SDLG!#REF!+#REF!+#REF!+#REF!+#REF!+#REF!+#REF!+#REF!+#REF!+#REF!+#REF!+#REF!+#REF!+#REF!+'18'!N53+#REF!+#REF!+#REF!+#REF!," ")</f>
        <v>#REF!</v>
      </c>
      <c r="O53" s="15" t="e">
        <f>IF('001'!O53+Рабочие!#REF!+#REF!+#REF!+SDLG!#REF!+#REF!+#REF!+#REF!+#REF!+#REF!+#REF!+#REF!+#REF!+#REF!+#REF!+#REF!+#REF!+#REF!+'18'!O53+#REF!+#REF!+#REF!+#REF!,'001'!O53+Рабочие!#REF!+#REF!+#REF!+SDLG!#REF!+#REF!+#REF!+#REF!+#REF!+#REF!+#REF!+#REF!+#REF!+#REF!+#REF!+#REF!+#REF!+#REF!+'18'!O53+#REF!+#REF!+#REF!+#REF!," ")</f>
        <v>#REF!</v>
      </c>
      <c r="P53" s="15" t="e">
        <f>IF('001'!P53+Рабочие!#REF!+#REF!+#REF!+SDLG!#REF!+#REF!+#REF!+#REF!+#REF!+#REF!+#REF!+#REF!+#REF!+#REF!+#REF!+#REF!+#REF!+#REF!+'18'!P53+#REF!+#REF!+#REF!+#REF!,'001'!P53+Рабочие!#REF!+#REF!+#REF!+SDLG!#REF!+#REF!+#REF!+#REF!+#REF!+#REF!+#REF!+#REF!+#REF!+#REF!+#REF!+#REF!+#REF!+#REF!+'18'!P53+#REF!+#REF!+#REF!+#REF!," ")</f>
        <v>#REF!</v>
      </c>
      <c r="Q53" s="15" t="e">
        <f>IF('001'!Q53+Рабочие!#REF!+#REF!+#REF!+SDLG!#REF!+#REF!+#REF!+#REF!+#REF!+#REF!+#REF!+#REF!+#REF!+#REF!+#REF!+#REF!+#REF!+#REF!+'18'!Q53+#REF!+#REF!+#REF!+#REF!,'001'!Q53+Рабочие!#REF!+#REF!+#REF!+SDLG!#REF!+#REF!+#REF!+#REF!+#REF!+#REF!+#REF!+#REF!+#REF!+#REF!+#REF!+#REF!+#REF!+#REF!+'18'!Q53+#REF!+#REF!+#REF!+#REF!," ")</f>
        <v>#REF!</v>
      </c>
      <c r="R53" s="15" t="e">
        <f>IF('001'!R53+Рабочие!#REF!+#REF!+#REF!+SDLG!#REF!+#REF!+#REF!+#REF!+#REF!+#REF!+#REF!+#REF!+#REF!+#REF!+#REF!+#REF!+#REF!+#REF!+'18'!R53+#REF!+#REF!+#REF!+#REF!,'001'!R53+Рабочие!#REF!+#REF!+#REF!+SDLG!#REF!+#REF!+#REF!+#REF!+#REF!+#REF!+#REF!+#REF!+#REF!+#REF!+#REF!+#REF!+#REF!+#REF!+'18'!R53+#REF!+#REF!+#REF!+#REF!," ")</f>
        <v>#REF!</v>
      </c>
      <c r="S53" s="15" t="e">
        <f>IF('001'!S53+Рабочие!#REF!+#REF!+#REF!+SDLG!#REF!+#REF!+#REF!+#REF!+#REF!+#REF!+#REF!+#REF!+#REF!+#REF!+#REF!+#REF!+#REF!+#REF!+'18'!S53+#REF!+#REF!+#REF!+#REF!,'001'!S53+Рабочие!#REF!+#REF!+#REF!+SDLG!#REF!+#REF!+#REF!+#REF!+#REF!+#REF!+#REF!+#REF!+#REF!+#REF!+#REF!+#REF!+#REF!+#REF!+'18'!S53+#REF!+#REF!+#REF!+#REF!," ")</f>
        <v>#REF!</v>
      </c>
      <c r="T53" s="70"/>
      <c r="U53" s="58"/>
      <c r="V53" s="58"/>
      <c r="W53" s="58"/>
      <c r="X53" s="58"/>
      <c r="Y53" s="116"/>
      <c r="Z53" s="58"/>
      <c r="AA53" s="58"/>
      <c r="AB53" s="58"/>
      <c r="AC53" s="58"/>
      <c r="AD53" s="58"/>
      <c r="AE53" s="58"/>
      <c r="AF53" s="58"/>
      <c r="AG53" s="114"/>
    </row>
    <row r="54" spans="1:33" x14ac:dyDescent="0.25">
      <c r="A54" s="57">
        <v>5</v>
      </c>
      <c r="B54" s="71" t="s">
        <v>96</v>
      </c>
      <c r="C54" s="63">
        <v>5</v>
      </c>
      <c r="D54" s="15" t="e">
        <f>IF('001'!D54+Рабочие!#REF!+#REF!+#REF!+SDLG!#REF!+#REF!+#REF!+#REF!+#REF!+#REF!+#REF!+#REF!+#REF!+#REF!+#REF!+#REF!+#REF!+#REF!+'18'!D54+#REF!+#REF!+#REF!+#REF!,'001'!D54+Рабочие!#REF!+#REF!+#REF!+SDLG!#REF!+#REF!+#REF!+#REF!+#REF!+#REF!+#REF!+#REF!+#REF!+#REF!+#REF!+#REF!+#REF!+#REF!+'18'!D54+#REF!+#REF!+#REF!+#REF!," ")</f>
        <v>#REF!</v>
      </c>
      <c r="E54" s="15" t="e">
        <f>IF('001'!E54+Рабочие!#REF!+#REF!+#REF!+SDLG!#REF!+#REF!+#REF!+#REF!+#REF!+#REF!+#REF!+#REF!+#REF!+#REF!+#REF!+#REF!+#REF!+#REF!+'18'!E54+#REF!+#REF!+#REF!+#REF!,'001'!E54+Рабочие!#REF!+#REF!+#REF!+SDLG!#REF!+#REF!+#REF!+#REF!+#REF!+#REF!+#REF!+#REF!+#REF!+#REF!+#REF!+#REF!+#REF!+#REF!+'18'!E54+#REF!+#REF!+#REF!+#REF!," ")</f>
        <v>#REF!</v>
      </c>
      <c r="F54" s="15" t="e">
        <f>IF('001'!F54+Рабочие!#REF!+#REF!+#REF!+SDLG!#REF!+#REF!+#REF!+#REF!+#REF!+#REF!+#REF!+#REF!+#REF!+#REF!+#REF!+#REF!+#REF!+#REF!+'18'!F54+#REF!+#REF!+#REF!+#REF!,'001'!F54+Рабочие!#REF!+#REF!+#REF!+SDLG!#REF!+#REF!+#REF!+#REF!+#REF!+#REF!+#REF!+#REF!+#REF!+#REF!+#REF!+#REF!+#REF!+#REF!+'18'!F54+#REF!+#REF!+#REF!+#REF!," ")</f>
        <v>#REF!</v>
      </c>
      <c r="G54" s="15" t="e">
        <f>IF('001'!G54+Рабочие!#REF!+#REF!+#REF!+SDLG!#REF!+#REF!+#REF!+#REF!+#REF!+#REF!+#REF!+#REF!+#REF!+#REF!+#REF!+#REF!+#REF!+#REF!+'18'!G54+#REF!+#REF!+#REF!+#REF!,'001'!G54+Рабочие!#REF!+#REF!+#REF!+SDLG!#REF!+#REF!+#REF!+#REF!+#REF!+#REF!+#REF!+#REF!+#REF!+#REF!+#REF!+#REF!+#REF!+#REF!+'18'!G54+#REF!+#REF!+#REF!+#REF!," ")</f>
        <v>#REF!</v>
      </c>
      <c r="H54" s="15" t="e">
        <f>IF('001'!H54+Рабочие!#REF!+#REF!+#REF!+SDLG!#REF!+#REF!+#REF!+#REF!+#REF!+#REF!+#REF!+#REF!+#REF!+#REF!+#REF!+#REF!+#REF!+#REF!+'18'!H54+#REF!+#REF!+#REF!+#REF!,'001'!H54+Рабочие!#REF!+#REF!+#REF!+SDLG!#REF!+#REF!+#REF!+#REF!+#REF!+#REF!+#REF!+#REF!+#REF!+#REF!+#REF!+#REF!+#REF!+#REF!+'18'!H54+#REF!+#REF!+#REF!+#REF!," ")</f>
        <v>#REF!</v>
      </c>
      <c r="I54" s="15" t="e">
        <f>IF('001'!I54+Рабочие!#REF!+#REF!+#REF!+SDLG!#REF!+#REF!+#REF!+#REF!+#REF!+#REF!+#REF!+#REF!+#REF!+#REF!+#REF!+#REF!+#REF!+#REF!+'18'!I54+#REF!+#REF!+#REF!+#REF!,'001'!I54+Рабочие!#REF!+#REF!+#REF!+SDLG!#REF!+#REF!+#REF!+#REF!+#REF!+#REF!+#REF!+#REF!+#REF!+#REF!+#REF!+#REF!+#REF!+#REF!+'18'!I54+#REF!+#REF!+#REF!+#REF!," ")</f>
        <v>#REF!</v>
      </c>
      <c r="J54" s="15" t="e">
        <f>IF('001'!J54+Рабочие!#REF!+#REF!+#REF!+SDLG!#REF!+#REF!+#REF!+#REF!+#REF!+#REF!+#REF!+#REF!+#REF!+#REF!+#REF!+#REF!+#REF!+#REF!+'18'!J54+#REF!+#REF!+#REF!+#REF!,'001'!J54+Рабочие!#REF!+#REF!+#REF!+SDLG!#REF!+#REF!+#REF!+#REF!+#REF!+#REF!+#REF!+#REF!+#REF!+#REF!+#REF!+#REF!+#REF!+#REF!+'18'!J54+#REF!+#REF!+#REF!+#REF!," ")</f>
        <v>#REF!</v>
      </c>
      <c r="K54" s="15" t="e">
        <f>IF('001'!K54+Рабочие!#REF!+#REF!+#REF!+SDLG!#REF!+#REF!+#REF!+#REF!+#REF!+#REF!+#REF!+#REF!+#REF!+#REF!+#REF!+#REF!+#REF!+#REF!+'18'!K54+#REF!+#REF!+#REF!+#REF!,'001'!K54+Рабочие!#REF!+#REF!+#REF!+SDLG!#REF!+#REF!+#REF!+#REF!+#REF!+#REF!+#REF!+#REF!+#REF!+#REF!+#REF!+#REF!+#REF!+#REF!+'18'!K54+#REF!+#REF!+#REF!+#REF!," ")</f>
        <v>#REF!</v>
      </c>
      <c r="L54" s="15" t="e">
        <f>IF('001'!L54+Рабочие!#REF!+#REF!+#REF!+SDLG!#REF!+#REF!+#REF!+#REF!+#REF!+#REF!+#REF!+#REF!+#REF!+#REF!+#REF!+#REF!+#REF!+#REF!+'18'!L54+#REF!+#REF!+#REF!+#REF!,'001'!L54+Рабочие!#REF!+#REF!+#REF!+SDLG!#REF!+#REF!+#REF!+#REF!+#REF!+#REF!+#REF!+#REF!+#REF!+#REF!+#REF!+#REF!+#REF!+#REF!+'18'!L54+#REF!+#REF!+#REF!+#REF!," ")</f>
        <v>#REF!</v>
      </c>
      <c r="M54" s="15" t="e">
        <f>IF('001'!M54+Рабочие!#REF!+#REF!+#REF!+SDLG!#REF!+#REF!+#REF!+#REF!+#REF!+#REF!+#REF!+#REF!+#REF!+#REF!+#REF!+#REF!+#REF!+#REF!+'18'!M54+#REF!+#REF!+#REF!+#REF!,'001'!M54+Рабочие!#REF!+#REF!+#REF!+SDLG!#REF!+#REF!+#REF!+#REF!+#REF!+#REF!+#REF!+#REF!+#REF!+#REF!+#REF!+#REF!+#REF!+#REF!+'18'!M54+#REF!+#REF!+#REF!+#REF!," ")</f>
        <v>#REF!</v>
      </c>
      <c r="N54" s="15" t="e">
        <f>IF('001'!N54+Рабочие!#REF!+#REF!+#REF!+SDLG!#REF!+#REF!+#REF!+#REF!+#REF!+#REF!+#REF!+#REF!+#REF!+#REF!+#REF!+#REF!+#REF!+#REF!+'18'!N54+#REF!+#REF!+#REF!+#REF!,'001'!N54+Рабочие!#REF!+#REF!+#REF!+SDLG!#REF!+#REF!+#REF!+#REF!+#REF!+#REF!+#REF!+#REF!+#REF!+#REF!+#REF!+#REF!+#REF!+#REF!+'18'!N54+#REF!+#REF!+#REF!+#REF!," ")</f>
        <v>#REF!</v>
      </c>
      <c r="O54" s="15" t="e">
        <f>IF('001'!O54+Рабочие!#REF!+#REF!+#REF!+SDLG!#REF!+#REF!+#REF!+#REF!+#REF!+#REF!+#REF!+#REF!+#REF!+#REF!+#REF!+#REF!+#REF!+#REF!+'18'!O54+#REF!+#REF!+#REF!+#REF!,'001'!O54+Рабочие!#REF!+#REF!+#REF!+SDLG!#REF!+#REF!+#REF!+#REF!+#REF!+#REF!+#REF!+#REF!+#REF!+#REF!+#REF!+#REF!+#REF!+#REF!+'18'!O54+#REF!+#REF!+#REF!+#REF!," ")</f>
        <v>#REF!</v>
      </c>
      <c r="P54" s="15" t="e">
        <f>IF('001'!P54+Рабочие!#REF!+#REF!+#REF!+SDLG!#REF!+#REF!+#REF!+#REF!+#REF!+#REF!+#REF!+#REF!+#REF!+#REF!+#REF!+#REF!+#REF!+#REF!+'18'!P54+#REF!+#REF!+#REF!+#REF!,'001'!P54+Рабочие!#REF!+#REF!+#REF!+SDLG!#REF!+#REF!+#REF!+#REF!+#REF!+#REF!+#REF!+#REF!+#REF!+#REF!+#REF!+#REF!+#REF!+#REF!+'18'!P54+#REF!+#REF!+#REF!+#REF!," ")</f>
        <v>#REF!</v>
      </c>
      <c r="Q54" s="15" t="e">
        <f>IF('001'!Q54+Рабочие!#REF!+#REF!+#REF!+SDLG!#REF!+#REF!+#REF!+#REF!+#REF!+#REF!+#REF!+#REF!+#REF!+#REF!+#REF!+#REF!+#REF!+#REF!+'18'!Q54+#REF!+#REF!+#REF!+#REF!,'001'!Q54+Рабочие!#REF!+#REF!+#REF!+SDLG!#REF!+#REF!+#REF!+#REF!+#REF!+#REF!+#REF!+#REF!+#REF!+#REF!+#REF!+#REF!+#REF!+#REF!+'18'!Q54+#REF!+#REF!+#REF!+#REF!," ")</f>
        <v>#REF!</v>
      </c>
      <c r="R54" s="15" t="e">
        <f>IF('001'!R54+Рабочие!#REF!+#REF!+#REF!+SDLG!#REF!+#REF!+#REF!+#REF!+#REF!+#REF!+#REF!+#REF!+#REF!+#REF!+#REF!+#REF!+#REF!+#REF!+'18'!R54+#REF!+#REF!+#REF!+#REF!,'001'!R54+Рабочие!#REF!+#REF!+#REF!+SDLG!#REF!+#REF!+#REF!+#REF!+#REF!+#REF!+#REF!+#REF!+#REF!+#REF!+#REF!+#REF!+#REF!+#REF!+'18'!R54+#REF!+#REF!+#REF!+#REF!," ")</f>
        <v>#REF!</v>
      </c>
      <c r="S54" s="15" t="e">
        <f>IF('001'!S54+Рабочие!#REF!+#REF!+#REF!+SDLG!#REF!+#REF!+#REF!+#REF!+#REF!+#REF!+#REF!+#REF!+#REF!+#REF!+#REF!+#REF!+#REF!+#REF!+'18'!S54+#REF!+#REF!+#REF!+#REF!,'001'!S54+Рабочие!#REF!+#REF!+#REF!+SDLG!#REF!+#REF!+#REF!+#REF!+#REF!+#REF!+#REF!+#REF!+#REF!+#REF!+#REF!+#REF!+#REF!+#REF!+'18'!S54+#REF!+#REF!+#REF!+#REF!," ")</f>
        <v>#REF!</v>
      </c>
      <c r="T54" s="69" t="e">
        <f>SUM(D54:S55)</f>
        <v>#REF!</v>
      </c>
      <c r="U54" s="57"/>
      <c r="V54" s="57"/>
      <c r="W54" s="57"/>
      <c r="X54" s="57"/>
      <c r="Y54" s="115" t="s">
        <v>75</v>
      </c>
      <c r="Z54" s="57"/>
      <c r="AA54" s="57"/>
      <c r="AB54" s="57"/>
      <c r="AC54" s="115"/>
      <c r="AD54" s="57"/>
      <c r="AE54" s="57"/>
      <c r="AF54" s="57"/>
      <c r="AG54" s="113" t="e">
        <f>AE98</f>
        <v>#REF!</v>
      </c>
    </row>
    <row r="55" spans="1:33" x14ac:dyDescent="0.25">
      <c r="A55" s="58"/>
      <c r="B55" s="72"/>
      <c r="C55" s="64"/>
      <c r="D55" s="15" t="e">
        <f>IF('001'!D55+Рабочие!#REF!+#REF!+#REF!+SDLG!#REF!+#REF!+#REF!+#REF!+#REF!+#REF!+#REF!+#REF!+#REF!+#REF!+#REF!+#REF!+#REF!+#REF!+'18'!D55+#REF!+#REF!+#REF!+#REF!,'001'!D55+Рабочие!#REF!+#REF!+#REF!+SDLG!#REF!+#REF!+#REF!+#REF!+#REF!+#REF!+#REF!+#REF!+#REF!+#REF!+#REF!+#REF!+#REF!+#REF!+'18'!D55+#REF!+#REF!+#REF!+#REF!," ")</f>
        <v>#REF!</v>
      </c>
      <c r="E55" s="15" t="e">
        <f>IF('001'!E55+Рабочие!#REF!+#REF!+#REF!+SDLG!#REF!+#REF!+#REF!+#REF!+#REF!+#REF!+#REF!+#REF!+#REF!+#REF!+#REF!+#REF!+#REF!+#REF!+'18'!E55+#REF!+#REF!+#REF!+#REF!,'001'!E55+Рабочие!#REF!+#REF!+#REF!+SDLG!#REF!+#REF!+#REF!+#REF!+#REF!+#REF!+#REF!+#REF!+#REF!+#REF!+#REF!+#REF!+#REF!+#REF!+'18'!E55+#REF!+#REF!+#REF!+#REF!," ")</f>
        <v>#REF!</v>
      </c>
      <c r="F55" s="15" t="e">
        <f>IF('001'!F55+Рабочие!#REF!+#REF!+#REF!+SDLG!#REF!+#REF!+#REF!+#REF!+#REF!+#REF!+#REF!+#REF!+#REF!+#REF!+#REF!+#REF!+#REF!+#REF!+'18'!F55+#REF!+#REF!+#REF!+#REF!,'001'!F55+Рабочие!#REF!+#REF!+#REF!+SDLG!#REF!+#REF!+#REF!+#REF!+#REF!+#REF!+#REF!+#REF!+#REF!+#REF!+#REF!+#REF!+#REF!+#REF!+'18'!F55+#REF!+#REF!+#REF!+#REF!," ")</f>
        <v>#REF!</v>
      </c>
      <c r="G55" s="15" t="e">
        <f>IF('001'!G55+Рабочие!#REF!+#REF!+#REF!+SDLG!#REF!+#REF!+#REF!+#REF!+#REF!+#REF!+#REF!+#REF!+#REF!+#REF!+#REF!+#REF!+#REF!+#REF!+'18'!G55+#REF!+#REF!+#REF!+#REF!,'001'!G55+Рабочие!#REF!+#REF!+#REF!+SDLG!#REF!+#REF!+#REF!+#REF!+#REF!+#REF!+#REF!+#REF!+#REF!+#REF!+#REF!+#REF!+#REF!+#REF!+'18'!G55+#REF!+#REF!+#REF!+#REF!," ")</f>
        <v>#REF!</v>
      </c>
      <c r="H55" s="15" t="e">
        <f>IF('001'!H55+Рабочие!#REF!+#REF!+#REF!+SDLG!#REF!+#REF!+#REF!+#REF!+#REF!+#REF!+#REF!+#REF!+#REF!+#REF!+#REF!+#REF!+#REF!+#REF!+'18'!H55+#REF!+#REF!+#REF!+#REF!,'001'!H55+Рабочие!#REF!+#REF!+#REF!+SDLG!#REF!+#REF!+#REF!+#REF!+#REF!+#REF!+#REF!+#REF!+#REF!+#REF!+#REF!+#REF!+#REF!+#REF!+'18'!H55+#REF!+#REF!+#REF!+#REF!," ")</f>
        <v>#REF!</v>
      </c>
      <c r="I55" s="15" t="e">
        <f>IF('001'!I55+Рабочие!#REF!+#REF!+#REF!+SDLG!#REF!+#REF!+#REF!+#REF!+#REF!+#REF!+#REF!+#REF!+#REF!+#REF!+#REF!+#REF!+#REF!+#REF!+'18'!I55+#REF!+#REF!+#REF!+#REF!,'001'!I55+Рабочие!#REF!+#REF!+#REF!+SDLG!#REF!+#REF!+#REF!+#REF!+#REF!+#REF!+#REF!+#REF!+#REF!+#REF!+#REF!+#REF!+#REF!+#REF!+'18'!I55+#REF!+#REF!+#REF!+#REF!," ")</f>
        <v>#REF!</v>
      </c>
      <c r="J55" s="15" t="e">
        <f>IF('001'!J55+Рабочие!#REF!+#REF!+#REF!+SDLG!#REF!+#REF!+#REF!+#REF!+#REF!+#REF!+#REF!+#REF!+#REF!+#REF!+#REF!+#REF!+#REF!+#REF!+'18'!J55+#REF!+#REF!+#REF!+#REF!,'001'!J55+Рабочие!#REF!+#REF!+#REF!+SDLG!#REF!+#REF!+#REF!+#REF!+#REF!+#REF!+#REF!+#REF!+#REF!+#REF!+#REF!+#REF!+#REF!+#REF!+'18'!J55+#REF!+#REF!+#REF!+#REF!," ")</f>
        <v>#REF!</v>
      </c>
      <c r="K55" s="15" t="e">
        <f>IF('001'!K55+Рабочие!#REF!+#REF!+#REF!+SDLG!#REF!+#REF!+#REF!+#REF!+#REF!+#REF!+#REF!+#REF!+#REF!+#REF!+#REF!+#REF!+#REF!+#REF!+'18'!K55+#REF!+#REF!+#REF!+#REF!,'001'!K55+Рабочие!#REF!+#REF!+#REF!+SDLG!#REF!+#REF!+#REF!+#REF!+#REF!+#REF!+#REF!+#REF!+#REF!+#REF!+#REF!+#REF!+#REF!+#REF!+'18'!K55+#REF!+#REF!+#REF!+#REF!," ")</f>
        <v>#REF!</v>
      </c>
      <c r="L55" s="15" t="e">
        <f>IF('001'!L55+Рабочие!#REF!+#REF!+#REF!+SDLG!#REF!+#REF!+#REF!+#REF!+#REF!+#REF!+#REF!+#REF!+#REF!+#REF!+#REF!+#REF!+#REF!+#REF!+'18'!L55+#REF!+#REF!+#REF!+#REF!,'001'!L55+Рабочие!#REF!+#REF!+#REF!+SDLG!#REF!+#REF!+#REF!+#REF!+#REF!+#REF!+#REF!+#REF!+#REF!+#REF!+#REF!+#REF!+#REF!+#REF!+'18'!L55+#REF!+#REF!+#REF!+#REF!," ")</f>
        <v>#REF!</v>
      </c>
      <c r="M55" s="15" t="e">
        <f>IF('001'!M55+Рабочие!#REF!+#REF!+#REF!+SDLG!#REF!+#REF!+#REF!+#REF!+#REF!+#REF!+#REF!+#REF!+#REF!+#REF!+#REF!+#REF!+#REF!+#REF!+'18'!M55+#REF!+#REF!+#REF!+#REF!,'001'!M55+Рабочие!#REF!+#REF!+#REF!+SDLG!#REF!+#REF!+#REF!+#REF!+#REF!+#REF!+#REF!+#REF!+#REF!+#REF!+#REF!+#REF!+#REF!+#REF!+'18'!M55+#REF!+#REF!+#REF!+#REF!," ")</f>
        <v>#REF!</v>
      </c>
      <c r="N55" s="15" t="e">
        <f>IF('001'!N55+Рабочие!#REF!+#REF!+#REF!+SDLG!#REF!+#REF!+#REF!+#REF!+#REF!+#REF!+#REF!+#REF!+#REF!+#REF!+#REF!+#REF!+#REF!+#REF!+'18'!N55+#REF!+#REF!+#REF!+#REF!,'001'!N55+Рабочие!#REF!+#REF!+#REF!+SDLG!#REF!+#REF!+#REF!+#REF!+#REF!+#REF!+#REF!+#REF!+#REF!+#REF!+#REF!+#REF!+#REF!+#REF!+'18'!N55+#REF!+#REF!+#REF!+#REF!," ")</f>
        <v>#REF!</v>
      </c>
      <c r="O55" s="15" t="e">
        <f>IF('001'!O55+Рабочие!#REF!+#REF!+#REF!+SDLG!#REF!+#REF!+#REF!+#REF!+#REF!+#REF!+#REF!+#REF!+#REF!+#REF!+#REF!+#REF!+#REF!+#REF!+'18'!O55+#REF!+#REF!+#REF!+#REF!,'001'!O55+Рабочие!#REF!+#REF!+#REF!+SDLG!#REF!+#REF!+#REF!+#REF!+#REF!+#REF!+#REF!+#REF!+#REF!+#REF!+#REF!+#REF!+#REF!+#REF!+'18'!O55+#REF!+#REF!+#REF!+#REF!," ")</f>
        <v>#REF!</v>
      </c>
      <c r="P55" s="15" t="e">
        <f>IF('001'!P55+Рабочие!#REF!+#REF!+#REF!+SDLG!#REF!+#REF!+#REF!+#REF!+#REF!+#REF!+#REF!+#REF!+#REF!+#REF!+#REF!+#REF!+#REF!+#REF!+'18'!P55+#REF!+#REF!+#REF!+#REF!,'001'!P55+Рабочие!#REF!+#REF!+#REF!+SDLG!#REF!+#REF!+#REF!+#REF!+#REF!+#REF!+#REF!+#REF!+#REF!+#REF!+#REF!+#REF!+#REF!+#REF!+'18'!P55+#REF!+#REF!+#REF!+#REF!," ")</f>
        <v>#REF!</v>
      </c>
      <c r="Q55" s="15" t="e">
        <f>IF('001'!Q55+Рабочие!#REF!+#REF!+#REF!+SDLG!#REF!+#REF!+#REF!+#REF!+#REF!+#REF!+#REF!+#REF!+#REF!+#REF!+#REF!+#REF!+#REF!+#REF!+'18'!Q55+#REF!+#REF!+#REF!+#REF!,'001'!Q55+Рабочие!#REF!+#REF!+#REF!+SDLG!#REF!+#REF!+#REF!+#REF!+#REF!+#REF!+#REF!+#REF!+#REF!+#REF!+#REF!+#REF!+#REF!+#REF!+'18'!Q55+#REF!+#REF!+#REF!+#REF!," ")</f>
        <v>#REF!</v>
      </c>
      <c r="R55" s="15" t="e">
        <f>IF('001'!R55+Рабочие!#REF!+#REF!+#REF!+SDLG!#REF!+#REF!+#REF!+#REF!+#REF!+#REF!+#REF!+#REF!+#REF!+#REF!+#REF!+#REF!+#REF!+#REF!+'18'!R55+#REF!+#REF!+#REF!+#REF!,'001'!R55+Рабочие!#REF!+#REF!+#REF!+SDLG!#REF!+#REF!+#REF!+#REF!+#REF!+#REF!+#REF!+#REF!+#REF!+#REF!+#REF!+#REF!+#REF!+#REF!+'18'!R55+#REF!+#REF!+#REF!+#REF!," ")</f>
        <v>#REF!</v>
      </c>
      <c r="S55" s="15" t="e">
        <f>IF('001'!S55+Рабочие!#REF!+#REF!+#REF!+SDLG!#REF!+#REF!+#REF!+#REF!+#REF!+#REF!+#REF!+#REF!+#REF!+#REF!+#REF!+#REF!+#REF!+#REF!+'18'!S55+#REF!+#REF!+#REF!+#REF!,'001'!S55+Рабочие!#REF!+#REF!+#REF!+SDLG!#REF!+#REF!+#REF!+#REF!+#REF!+#REF!+#REF!+#REF!+#REF!+#REF!+#REF!+#REF!+#REF!+#REF!+'18'!S55+#REF!+#REF!+#REF!+#REF!," ")</f>
        <v>#REF!</v>
      </c>
      <c r="T55" s="70"/>
      <c r="U55" s="58"/>
      <c r="V55" s="58"/>
      <c r="W55" s="58"/>
      <c r="X55" s="58"/>
      <c r="Y55" s="116"/>
      <c r="Z55" s="58"/>
      <c r="AA55" s="58"/>
      <c r="AB55" s="58"/>
      <c r="AC55" s="116"/>
      <c r="AD55" s="58"/>
      <c r="AE55" s="58"/>
      <c r="AF55" s="58"/>
      <c r="AG55" s="114"/>
    </row>
    <row r="56" spans="1:33" x14ac:dyDescent="0.25">
      <c r="A56" s="57">
        <v>6</v>
      </c>
      <c r="B56" s="71" t="s">
        <v>94</v>
      </c>
      <c r="C56" s="63">
        <v>4</v>
      </c>
      <c r="D56" s="15" t="e">
        <f>IF('001'!D56+Рабочие!#REF!+#REF!+#REF!+SDLG!#REF!+#REF!+#REF!+#REF!+#REF!+#REF!+#REF!+#REF!+#REF!+#REF!+#REF!+#REF!+#REF!+#REF!+'18'!D56+#REF!+#REF!+#REF!+#REF!,'001'!D56+Рабочие!#REF!+#REF!+#REF!+SDLG!#REF!+#REF!+#REF!+#REF!+#REF!+#REF!+#REF!+#REF!+#REF!+#REF!+#REF!+#REF!+#REF!+#REF!+'18'!D56+#REF!+#REF!+#REF!+#REF!," ")</f>
        <v>#REF!</v>
      </c>
      <c r="E56" s="15" t="e">
        <f>IF('001'!E56+Рабочие!#REF!+#REF!+#REF!+SDLG!#REF!+#REF!+#REF!+#REF!+#REF!+#REF!+#REF!+#REF!+#REF!+#REF!+#REF!+#REF!+#REF!+#REF!+'18'!E56+#REF!+#REF!+#REF!+#REF!,'001'!E56+Рабочие!#REF!+#REF!+#REF!+SDLG!#REF!+#REF!+#REF!+#REF!+#REF!+#REF!+#REF!+#REF!+#REF!+#REF!+#REF!+#REF!+#REF!+#REF!+'18'!E56+#REF!+#REF!+#REF!+#REF!," ")</f>
        <v>#REF!</v>
      </c>
      <c r="F56" s="15" t="e">
        <f>IF('001'!F56+Рабочие!#REF!+#REF!+#REF!+SDLG!#REF!+#REF!+#REF!+#REF!+#REF!+#REF!+#REF!+#REF!+#REF!+#REF!+#REF!+#REF!+#REF!+#REF!+'18'!F56+#REF!+#REF!+#REF!+#REF!,'001'!F56+Рабочие!#REF!+#REF!+#REF!+SDLG!#REF!+#REF!+#REF!+#REF!+#REF!+#REF!+#REF!+#REF!+#REF!+#REF!+#REF!+#REF!+#REF!+#REF!+'18'!F56+#REF!+#REF!+#REF!+#REF!," ")</f>
        <v>#REF!</v>
      </c>
      <c r="G56" s="15" t="e">
        <f>IF('001'!G56+Рабочие!#REF!+#REF!+#REF!+SDLG!#REF!+#REF!+#REF!+#REF!+#REF!+#REF!+#REF!+#REF!+#REF!+#REF!+#REF!+#REF!+#REF!+#REF!+'18'!G56+#REF!+#REF!+#REF!+#REF!,'001'!G56+Рабочие!#REF!+#REF!+#REF!+SDLG!#REF!+#REF!+#REF!+#REF!+#REF!+#REF!+#REF!+#REF!+#REF!+#REF!+#REF!+#REF!+#REF!+#REF!+'18'!G56+#REF!+#REF!+#REF!+#REF!," ")</f>
        <v>#REF!</v>
      </c>
      <c r="H56" s="15" t="e">
        <f>IF('001'!H56+Рабочие!#REF!+#REF!+#REF!+SDLG!#REF!+#REF!+#REF!+#REF!+#REF!+#REF!+#REF!+#REF!+#REF!+#REF!+#REF!+#REF!+#REF!+#REF!+'18'!H56+#REF!+#REF!+#REF!+#REF!,'001'!H56+Рабочие!#REF!+#REF!+#REF!+SDLG!#REF!+#REF!+#REF!+#REF!+#REF!+#REF!+#REF!+#REF!+#REF!+#REF!+#REF!+#REF!+#REF!+#REF!+'18'!H56+#REF!+#REF!+#REF!+#REF!," ")</f>
        <v>#REF!</v>
      </c>
      <c r="I56" s="15" t="e">
        <f>IF('001'!I56+Рабочие!#REF!+#REF!+#REF!+SDLG!#REF!+#REF!+#REF!+#REF!+#REF!+#REF!+#REF!+#REF!+#REF!+#REF!+#REF!+#REF!+#REF!+#REF!+'18'!I56+#REF!+#REF!+#REF!+#REF!,'001'!I56+Рабочие!#REF!+#REF!+#REF!+SDLG!#REF!+#REF!+#REF!+#REF!+#REF!+#REF!+#REF!+#REF!+#REF!+#REF!+#REF!+#REF!+#REF!+#REF!+'18'!I56+#REF!+#REF!+#REF!+#REF!," ")</f>
        <v>#REF!</v>
      </c>
      <c r="J56" s="15" t="e">
        <f>IF('001'!J56+Рабочие!#REF!+#REF!+#REF!+SDLG!#REF!+#REF!+#REF!+#REF!+#REF!+#REF!+#REF!+#REF!+#REF!+#REF!+#REF!+#REF!+#REF!+#REF!+'18'!J56+#REF!+#REF!+#REF!+#REF!,'001'!J56+Рабочие!#REF!+#REF!+#REF!+SDLG!#REF!+#REF!+#REF!+#REF!+#REF!+#REF!+#REF!+#REF!+#REF!+#REF!+#REF!+#REF!+#REF!+#REF!+'18'!J56+#REF!+#REF!+#REF!+#REF!," ")</f>
        <v>#REF!</v>
      </c>
      <c r="K56" s="15" t="e">
        <f>IF('001'!K56+Рабочие!#REF!+#REF!+#REF!+SDLG!#REF!+#REF!+#REF!+#REF!+#REF!+#REF!+#REF!+#REF!+#REF!+#REF!+#REF!+#REF!+#REF!+#REF!+'18'!K56+#REF!+#REF!+#REF!+#REF!,'001'!K56+Рабочие!#REF!+#REF!+#REF!+SDLG!#REF!+#REF!+#REF!+#REF!+#REF!+#REF!+#REF!+#REF!+#REF!+#REF!+#REF!+#REF!+#REF!+#REF!+'18'!K56+#REF!+#REF!+#REF!+#REF!," ")</f>
        <v>#REF!</v>
      </c>
      <c r="L56" s="15" t="e">
        <f>IF('001'!L56+Рабочие!#REF!+#REF!+#REF!+SDLG!#REF!+#REF!+#REF!+#REF!+#REF!+#REF!+#REF!+#REF!+#REF!+#REF!+#REF!+#REF!+#REF!+#REF!+'18'!L56+#REF!+#REF!+#REF!+#REF!,'001'!L56+Рабочие!#REF!+#REF!+#REF!+SDLG!#REF!+#REF!+#REF!+#REF!+#REF!+#REF!+#REF!+#REF!+#REF!+#REF!+#REF!+#REF!+#REF!+#REF!+'18'!L56+#REF!+#REF!+#REF!+#REF!," ")</f>
        <v>#REF!</v>
      </c>
      <c r="M56" s="15" t="e">
        <f>IF('001'!M56+Рабочие!#REF!+#REF!+#REF!+SDLG!#REF!+#REF!+#REF!+#REF!+#REF!+#REF!+#REF!+#REF!+#REF!+#REF!+#REF!+#REF!+#REF!+#REF!+'18'!M56+#REF!+#REF!+#REF!+#REF!,'001'!M56+Рабочие!#REF!+#REF!+#REF!+SDLG!#REF!+#REF!+#REF!+#REF!+#REF!+#REF!+#REF!+#REF!+#REF!+#REF!+#REF!+#REF!+#REF!+#REF!+'18'!M56+#REF!+#REF!+#REF!+#REF!," ")</f>
        <v>#REF!</v>
      </c>
      <c r="N56" s="15" t="e">
        <f>IF('001'!N56+Рабочие!#REF!+#REF!+#REF!+SDLG!#REF!+#REF!+#REF!+#REF!+#REF!+#REF!+#REF!+#REF!+#REF!+#REF!+#REF!+#REF!+#REF!+#REF!+'18'!N56+#REF!+#REF!+#REF!+#REF!,'001'!N56+Рабочие!#REF!+#REF!+#REF!+SDLG!#REF!+#REF!+#REF!+#REF!+#REF!+#REF!+#REF!+#REF!+#REF!+#REF!+#REF!+#REF!+#REF!+#REF!+'18'!N56+#REF!+#REF!+#REF!+#REF!," ")</f>
        <v>#REF!</v>
      </c>
      <c r="O56" s="15" t="e">
        <f>IF('001'!O56+Рабочие!#REF!+#REF!+#REF!+SDLG!#REF!+#REF!+#REF!+#REF!+#REF!+#REF!+#REF!+#REF!+#REF!+#REF!+#REF!+#REF!+#REF!+#REF!+'18'!O56+#REF!+#REF!+#REF!+#REF!,'001'!O56+Рабочие!#REF!+#REF!+#REF!+SDLG!#REF!+#REF!+#REF!+#REF!+#REF!+#REF!+#REF!+#REF!+#REF!+#REF!+#REF!+#REF!+#REF!+#REF!+'18'!O56+#REF!+#REF!+#REF!+#REF!," ")</f>
        <v>#REF!</v>
      </c>
      <c r="P56" s="15" t="e">
        <f>IF('001'!P56+Рабочие!#REF!+#REF!+#REF!+SDLG!#REF!+#REF!+#REF!+#REF!+#REF!+#REF!+#REF!+#REF!+#REF!+#REF!+#REF!+#REF!+#REF!+#REF!+'18'!P56+#REF!+#REF!+#REF!+#REF!,'001'!P56+Рабочие!#REF!+#REF!+#REF!+SDLG!#REF!+#REF!+#REF!+#REF!+#REF!+#REF!+#REF!+#REF!+#REF!+#REF!+#REF!+#REF!+#REF!+#REF!+'18'!P56+#REF!+#REF!+#REF!+#REF!," ")</f>
        <v>#REF!</v>
      </c>
      <c r="Q56" s="15" t="e">
        <f>IF('001'!Q56+Рабочие!#REF!+#REF!+#REF!+SDLG!#REF!+#REF!+#REF!+#REF!+#REF!+#REF!+#REF!+#REF!+#REF!+#REF!+#REF!+#REF!+#REF!+#REF!+'18'!Q56+#REF!+#REF!+#REF!+#REF!,'001'!Q56+Рабочие!#REF!+#REF!+#REF!+SDLG!#REF!+#REF!+#REF!+#REF!+#REF!+#REF!+#REF!+#REF!+#REF!+#REF!+#REF!+#REF!+#REF!+#REF!+'18'!Q56+#REF!+#REF!+#REF!+#REF!," ")</f>
        <v>#REF!</v>
      </c>
      <c r="R56" s="15" t="e">
        <f>IF('001'!R56+Рабочие!#REF!+#REF!+#REF!+SDLG!#REF!+#REF!+#REF!+#REF!+#REF!+#REF!+#REF!+#REF!+#REF!+#REF!+#REF!+#REF!+#REF!+#REF!+'18'!R56+#REF!+#REF!+#REF!+#REF!,'001'!R56+Рабочие!#REF!+#REF!+#REF!+SDLG!#REF!+#REF!+#REF!+#REF!+#REF!+#REF!+#REF!+#REF!+#REF!+#REF!+#REF!+#REF!+#REF!+#REF!+'18'!R56+#REF!+#REF!+#REF!+#REF!," ")</f>
        <v>#REF!</v>
      </c>
      <c r="S56" s="15" t="e">
        <f>IF('001'!S56+Рабочие!#REF!+#REF!+#REF!+SDLG!#REF!+#REF!+#REF!+#REF!+#REF!+#REF!+#REF!+#REF!+#REF!+#REF!+#REF!+#REF!+#REF!+#REF!+'18'!S56+#REF!+#REF!+#REF!+#REF!,'001'!S56+Рабочие!#REF!+#REF!+#REF!+SDLG!#REF!+#REF!+#REF!+#REF!+#REF!+#REF!+#REF!+#REF!+#REF!+#REF!+#REF!+#REF!+#REF!+#REF!+'18'!S56+#REF!+#REF!+#REF!+#REF!," ")</f>
        <v>#REF!</v>
      </c>
      <c r="T56" s="69" t="e">
        <f>SUM(D56:S57)</f>
        <v>#REF!</v>
      </c>
      <c r="U56" s="57"/>
      <c r="V56" s="57"/>
      <c r="W56" s="57"/>
      <c r="X56" s="57"/>
      <c r="Y56" s="115" t="s">
        <v>75</v>
      </c>
      <c r="Z56" s="57"/>
      <c r="AA56" s="57"/>
      <c r="AB56" s="57"/>
      <c r="AC56" s="57"/>
      <c r="AD56" s="57"/>
      <c r="AE56" s="57"/>
      <c r="AF56" s="57"/>
      <c r="AG56" s="113" t="e">
        <f>AE99</f>
        <v>#REF!</v>
      </c>
    </row>
    <row r="57" spans="1:33" x14ac:dyDescent="0.25">
      <c r="A57" s="58"/>
      <c r="B57" s="72"/>
      <c r="C57" s="64"/>
      <c r="D57" s="15" t="e">
        <f>IF('001'!D57+Рабочие!#REF!+#REF!+#REF!+SDLG!#REF!+#REF!+#REF!+#REF!+#REF!+#REF!+#REF!+#REF!+#REF!+#REF!+#REF!+#REF!+#REF!+#REF!+'18'!D57+#REF!+#REF!+#REF!+#REF!,'001'!D57+Рабочие!#REF!+#REF!+#REF!+SDLG!#REF!+#REF!+#REF!+#REF!+#REF!+#REF!+#REF!+#REF!+#REF!+#REF!+#REF!+#REF!+#REF!+#REF!+'18'!D57+#REF!+#REF!+#REF!+#REF!," ")</f>
        <v>#REF!</v>
      </c>
      <c r="E57" s="15" t="e">
        <f>IF('001'!E57+Рабочие!#REF!+#REF!+#REF!+SDLG!#REF!+#REF!+#REF!+#REF!+#REF!+#REF!+#REF!+#REF!+#REF!+#REF!+#REF!+#REF!+#REF!+#REF!+'18'!E57+#REF!+#REF!+#REF!+#REF!,'001'!E57+Рабочие!#REF!+#REF!+#REF!+SDLG!#REF!+#REF!+#REF!+#REF!+#REF!+#REF!+#REF!+#REF!+#REF!+#REF!+#REF!+#REF!+#REF!+#REF!+'18'!E57+#REF!+#REF!+#REF!+#REF!," ")</f>
        <v>#REF!</v>
      </c>
      <c r="F57" s="15" t="e">
        <f>IF('001'!F57+Рабочие!#REF!+#REF!+#REF!+SDLG!#REF!+#REF!+#REF!+#REF!+#REF!+#REF!+#REF!+#REF!+#REF!+#REF!+#REF!+#REF!+#REF!+#REF!+'18'!F57+#REF!+#REF!+#REF!+#REF!,'001'!F57+Рабочие!#REF!+#REF!+#REF!+SDLG!#REF!+#REF!+#REF!+#REF!+#REF!+#REF!+#REF!+#REF!+#REF!+#REF!+#REF!+#REF!+#REF!+#REF!+'18'!F57+#REF!+#REF!+#REF!+#REF!," ")</f>
        <v>#REF!</v>
      </c>
      <c r="G57" s="15" t="e">
        <f>IF('001'!G57+Рабочие!#REF!+#REF!+#REF!+SDLG!#REF!+#REF!+#REF!+#REF!+#REF!+#REF!+#REF!+#REF!+#REF!+#REF!+#REF!+#REF!+#REF!+#REF!+'18'!G57+#REF!+#REF!+#REF!+#REF!,'001'!G57+Рабочие!#REF!+#REF!+#REF!+SDLG!#REF!+#REF!+#REF!+#REF!+#REF!+#REF!+#REF!+#REF!+#REF!+#REF!+#REF!+#REF!+#REF!+#REF!+'18'!G57+#REF!+#REF!+#REF!+#REF!," ")</f>
        <v>#REF!</v>
      </c>
      <c r="H57" s="15" t="e">
        <f>IF('001'!H57+Рабочие!#REF!+#REF!+#REF!+SDLG!#REF!+#REF!+#REF!+#REF!+#REF!+#REF!+#REF!+#REF!+#REF!+#REF!+#REF!+#REF!+#REF!+#REF!+'18'!H57+#REF!+#REF!+#REF!+#REF!,'001'!H57+Рабочие!#REF!+#REF!+#REF!+SDLG!#REF!+#REF!+#REF!+#REF!+#REF!+#REF!+#REF!+#REF!+#REF!+#REF!+#REF!+#REF!+#REF!+#REF!+'18'!H57+#REF!+#REF!+#REF!+#REF!," ")</f>
        <v>#REF!</v>
      </c>
      <c r="I57" s="15" t="e">
        <f>IF('001'!I57+Рабочие!#REF!+#REF!+#REF!+SDLG!#REF!+#REF!+#REF!+#REF!+#REF!+#REF!+#REF!+#REF!+#REF!+#REF!+#REF!+#REF!+#REF!+#REF!+'18'!I57+#REF!+#REF!+#REF!+#REF!,'001'!I57+Рабочие!#REF!+#REF!+#REF!+SDLG!#REF!+#REF!+#REF!+#REF!+#REF!+#REF!+#REF!+#REF!+#REF!+#REF!+#REF!+#REF!+#REF!+#REF!+'18'!I57+#REF!+#REF!+#REF!+#REF!," ")</f>
        <v>#REF!</v>
      </c>
      <c r="J57" s="15" t="e">
        <f>IF('001'!J57+Рабочие!#REF!+#REF!+#REF!+SDLG!#REF!+#REF!+#REF!+#REF!+#REF!+#REF!+#REF!+#REF!+#REF!+#REF!+#REF!+#REF!+#REF!+#REF!+'18'!J57+#REF!+#REF!+#REF!+#REF!,'001'!J57+Рабочие!#REF!+#REF!+#REF!+SDLG!#REF!+#REF!+#REF!+#REF!+#REF!+#REF!+#REF!+#REF!+#REF!+#REF!+#REF!+#REF!+#REF!+#REF!+'18'!J57+#REF!+#REF!+#REF!+#REF!," ")</f>
        <v>#REF!</v>
      </c>
      <c r="K57" s="15" t="e">
        <f>IF('001'!K57+Рабочие!#REF!+#REF!+#REF!+SDLG!#REF!+#REF!+#REF!+#REF!+#REF!+#REF!+#REF!+#REF!+#REF!+#REF!+#REF!+#REF!+#REF!+#REF!+'18'!K57+#REF!+#REF!+#REF!+#REF!,'001'!K57+Рабочие!#REF!+#REF!+#REF!+SDLG!#REF!+#REF!+#REF!+#REF!+#REF!+#REF!+#REF!+#REF!+#REF!+#REF!+#REF!+#REF!+#REF!+#REF!+'18'!K57+#REF!+#REF!+#REF!+#REF!," ")</f>
        <v>#REF!</v>
      </c>
      <c r="L57" s="15" t="e">
        <f>IF('001'!L57+Рабочие!#REF!+#REF!+#REF!+SDLG!#REF!+#REF!+#REF!+#REF!+#REF!+#REF!+#REF!+#REF!+#REF!+#REF!+#REF!+#REF!+#REF!+#REF!+'18'!L57+#REF!+#REF!+#REF!+#REF!,'001'!L57+Рабочие!#REF!+#REF!+#REF!+SDLG!#REF!+#REF!+#REF!+#REF!+#REF!+#REF!+#REF!+#REF!+#REF!+#REF!+#REF!+#REF!+#REF!+#REF!+'18'!L57+#REF!+#REF!+#REF!+#REF!," ")</f>
        <v>#REF!</v>
      </c>
      <c r="M57" s="15" t="e">
        <f>IF('001'!M57+Рабочие!#REF!+#REF!+#REF!+SDLG!#REF!+#REF!+#REF!+#REF!+#REF!+#REF!+#REF!+#REF!+#REF!+#REF!+#REF!+#REF!+#REF!+#REF!+'18'!M57+#REF!+#REF!+#REF!+#REF!,'001'!M57+Рабочие!#REF!+#REF!+#REF!+SDLG!#REF!+#REF!+#REF!+#REF!+#REF!+#REF!+#REF!+#REF!+#REF!+#REF!+#REF!+#REF!+#REF!+#REF!+'18'!M57+#REF!+#REF!+#REF!+#REF!," ")</f>
        <v>#REF!</v>
      </c>
      <c r="N57" s="15" t="e">
        <f>IF('001'!N57+Рабочие!#REF!+#REF!+#REF!+SDLG!#REF!+#REF!+#REF!+#REF!+#REF!+#REF!+#REF!+#REF!+#REF!+#REF!+#REF!+#REF!+#REF!+#REF!+'18'!N57+#REF!+#REF!+#REF!+#REF!,'001'!N57+Рабочие!#REF!+#REF!+#REF!+SDLG!#REF!+#REF!+#REF!+#REF!+#REF!+#REF!+#REF!+#REF!+#REF!+#REF!+#REF!+#REF!+#REF!+#REF!+'18'!N57+#REF!+#REF!+#REF!+#REF!," ")</f>
        <v>#REF!</v>
      </c>
      <c r="O57" s="15" t="e">
        <f>IF('001'!O57+Рабочие!#REF!+#REF!+#REF!+SDLG!#REF!+#REF!+#REF!+#REF!+#REF!+#REF!+#REF!+#REF!+#REF!+#REF!+#REF!+#REF!+#REF!+#REF!+'18'!O57+#REF!+#REF!+#REF!+#REF!,'001'!O57+Рабочие!#REF!+#REF!+#REF!+SDLG!#REF!+#REF!+#REF!+#REF!+#REF!+#REF!+#REF!+#REF!+#REF!+#REF!+#REF!+#REF!+#REF!+#REF!+'18'!O57+#REF!+#REF!+#REF!+#REF!," ")</f>
        <v>#REF!</v>
      </c>
      <c r="P57" s="15" t="e">
        <f>IF('001'!P57+Рабочие!#REF!+#REF!+#REF!+SDLG!#REF!+#REF!+#REF!+#REF!+#REF!+#REF!+#REF!+#REF!+#REF!+#REF!+#REF!+#REF!+#REF!+#REF!+'18'!P57+#REF!+#REF!+#REF!+#REF!,'001'!P57+Рабочие!#REF!+#REF!+#REF!+SDLG!#REF!+#REF!+#REF!+#REF!+#REF!+#REF!+#REF!+#REF!+#REF!+#REF!+#REF!+#REF!+#REF!+#REF!+'18'!P57+#REF!+#REF!+#REF!+#REF!," ")</f>
        <v>#REF!</v>
      </c>
      <c r="Q57" s="15" t="e">
        <f>IF('001'!Q57+Рабочие!#REF!+#REF!+#REF!+SDLG!#REF!+#REF!+#REF!+#REF!+#REF!+#REF!+#REF!+#REF!+#REF!+#REF!+#REF!+#REF!+#REF!+#REF!+'18'!Q57+#REF!+#REF!+#REF!+#REF!,'001'!Q57+Рабочие!#REF!+#REF!+#REF!+SDLG!#REF!+#REF!+#REF!+#REF!+#REF!+#REF!+#REF!+#REF!+#REF!+#REF!+#REF!+#REF!+#REF!+#REF!+'18'!Q57+#REF!+#REF!+#REF!+#REF!," ")</f>
        <v>#REF!</v>
      </c>
      <c r="R57" s="15" t="e">
        <f>IF('001'!R57+Рабочие!#REF!+#REF!+#REF!+SDLG!#REF!+#REF!+#REF!+#REF!+#REF!+#REF!+#REF!+#REF!+#REF!+#REF!+#REF!+#REF!+#REF!+#REF!+'18'!R57+#REF!+#REF!+#REF!+#REF!,'001'!R57+Рабочие!#REF!+#REF!+#REF!+SDLG!#REF!+#REF!+#REF!+#REF!+#REF!+#REF!+#REF!+#REF!+#REF!+#REF!+#REF!+#REF!+#REF!+#REF!+'18'!R57+#REF!+#REF!+#REF!+#REF!," ")</f>
        <v>#REF!</v>
      </c>
      <c r="S57" s="15" t="e">
        <f>IF('001'!S57+Рабочие!#REF!+#REF!+#REF!+SDLG!#REF!+#REF!+#REF!+#REF!+#REF!+#REF!+#REF!+#REF!+#REF!+#REF!+#REF!+#REF!+#REF!+#REF!+'18'!S57+#REF!+#REF!+#REF!+#REF!,'001'!S57+Рабочие!#REF!+#REF!+#REF!+SDLG!#REF!+#REF!+#REF!+#REF!+#REF!+#REF!+#REF!+#REF!+#REF!+#REF!+#REF!+#REF!+#REF!+#REF!+'18'!S57+#REF!+#REF!+#REF!+#REF!," ")</f>
        <v>#REF!</v>
      </c>
      <c r="T57" s="70"/>
      <c r="U57" s="58"/>
      <c r="V57" s="58"/>
      <c r="W57" s="58"/>
      <c r="X57" s="58"/>
      <c r="Y57" s="116"/>
      <c r="Z57" s="58"/>
      <c r="AA57" s="58"/>
      <c r="AB57" s="58"/>
      <c r="AC57" s="58"/>
      <c r="AD57" s="58"/>
      <c r="AE57" s="58"/>
      <c r="AF57" s="58"/>
      <c r="AG57" s="114"/>
    </row>
    <row r="58" spans="1:33" x14ac:dyDescent="0.25">
      <c r="A58" s="57">
        <v>7</v>
      </c>
      <c r="B58" s="71" t="s">
        <v>97</v>
      </c>
      <c r="C58" s="63">
        <v>4</v>
      </c>
      <c r="D58" s="15" t="e">
        <f>IF('001'!D58+Рабочие!#REF!+#REF!+#REF!+SDLG!#REF!+#REF!+#REF!+#REF!+#REF!+#REF!+#REF!+#REF!+#REF!+#REF!+#REF!+#REF!+#REF!+#REF!+'18'!D58+#REF!+#REF!+#REF!+#REF!,'001'!D58+Рабочие!#REF!+#REF!+#REF!+SDLG!#REF!+#REF!+#REF!+#REF!+#REF!+#REF!+#REF!+#REF!+#REF!+#REF!+#REF!+#REF!+#REF!+#REF!+'18'!D58+#REF!+#REF!+#REF!+#REF!," ")</f>
        <v>#REF!</v>
      </c>
      <c r="E58" s="15" t="e">
        <f>IF('001'!E58+Рабочие!#REF!+#REF!+#REF!+SDLG!#REF!+#REF!+#REF!+#REF!+#REF!+#REF!+#REF!+#REF!+#REF!+#REF!+#REF!+#REF!+#REF!+#REF!+'18'!E58+#REF!+#REF!+#REF!+#REF!,'001'!E58+Рабочие!#REF!+#REF!+#REF!+SDLG!#REF!+#REF!+#REF!+#REF!+#REF!+#REF!+#REF!+#REF!+#REF!+#REF!+#REF!+#REF!+#REF!+#REF!+'18'!E58+#REF!+#REF!+#REF!+#REF!," ")</f>
        <v>#REF!</v>
      </c>
      <c r="F58" s="15" t="e">
        <f>IF('001'!F58+Рабочие!#REF!+#REF!+#REF!+SDLG!#REF!+#REF!+#REF!+#REF!+#REF!+#REF!+#REF!+#REF!+#REF!+#REF!+#REF!+#REF!+#REF!+#REF!+'18'!F58+#REF!+#REF!+#REF!+#REF!,'001'!F58+Рабочие!#REF!+#REF!+#REF!+SDLG!#REF!+#REF!+#REF!+#REF!+#REF!+#REF!+#REF!+#REF!+#REF!+#REF!+#REF!+#REF!+#REF!+#REF!+'18'!F58+#REF!+#REF!+#REF!+#REF!," ")</f>
        <v>#REF!</v>
      </c>
      <c r="G58" s="15" t="e">
        <f>IF('001'!G58+Рабочие!#REF!+#REF!+#REF!+SDLG!#REF!+#REF!+#REF!+#REF!+#REF!+#REF!+#REF!+#REF!+#REF!+#REF!+#REF!+#REF!+#REF!+#REF!+'18'!G58+#REF!+#REF!+#REF!+#REF!,'001'!G58+Рабочие!#REF!+#REF!+#REF!+SDLG!#REF!+#REF!+#REF!+#REF!+#REF!+#REF!+#REF!+#REF!+#REF!+#REF!+#REF!+#REF!+#REF!+#REF!+'18'!G58+#REF!+#REF!+#REF!+#REF!," ")</f>
        <v>#REF!</v>
      </c>
      <c r="H58" s="15" t="e">
        <f>IF('001'!H58+Рабочие!#REF!+#REF!+#REF!+SDLG!#REF!+#REF!+#REF!+#REF!+#REF!+#REF!+#REF!+#REF!+#REF!+#REF!+#REF!+#REF!+#REF!+#REF!+'18'!H58+#REF!+#REF!+#REF!+#REF!,'001'!H58+Рабочие!#REF!+#REF!+#REF!+SDLG!#REF!+#REF!+#REF!+#REF!+#REF!+#REF!+#REF!+#REF!+#REF!+#REF!+#REF!+#REF!+#REF!+#REF!+'18'!H58+#REF!+#REF!+#REF!+#REF!," ")</f>
        <v>#REF!</v>
      </c>
      <c r="I58" s="15" t="e">
        <f>IF('001'!I58+Рабочие!#REF!+#REF!+#REF!+SDLG!#REF!+#REF!+#REF!+#REF!+#REF!+#REF!+#REF!+#REF!+#REF!+#REF!+#REF!+#REF!+#REF!+#REF!+'18'!I58+#REF!+#REF!+#REF!+#REF!,'001'!I58+Рабочие!#REF!+#REF!+#REF!+SDLG!#REF!+#REF!+#REF!+#REF!+#REF!+#REF!+#REF!+#REF!+#REF!+#REF!+#REF!+#REF!+#REF!+#REF!+'18'!I58+#REF!+#REF!+#REF!+#REF!," ")</f>
        <v>#REF!</v>
      </c>
      <c r="J58" s="15" t="e">
        <f>IF('001'!J58+Рабочие!#REF!+#REF!+#REF!+SDLG!#REF!+#REF!+#REF!+#REF!+#REF!+#REF!+#REF!+#REF!+#REF!+#REF!+#REF!+#REF!+#REF!+#REF!+'18'!J58+#REF!+#REF!+#REF!+#REF!,'001'!J58+Рабочие!#REF!+#REF!+#REF!+SDLG!#REF!+#REF!+#REF!+#REF!+#REF!+#REF!+#REF!+#REF!+#REF!+#REF!+#REF!+#REF!+#REF!+#REF!+'18'!J58+#REF!+#REF!+#REF!+#REF!," ")</f>
        <v>#REF!</v>
      </c>
      <c r="K58" s="15" t="e">
        <f>IF('001'!K58+Рабочие!#REF!+#REF!+#REF!+SDLG!#REF!+#REF!+#REF!+#REF!+#REF!+#REF!+#REF!+#REF!+#REF!+#REF!+#REF!+#REF!+#REF!+#REF!+'18'!K58+#REF!+#REF!+#REF!+#REF!,'001'!K58+Рабочие!#REF!+#REF!+#REF!+SDLG!#REF!+#REF!+#REF!+#REF!+#REF!+#REF!+#REF!+#REF!+#REF!+#REF!+#REF!+#REF!+#REF!+#REF!+'18'!K58+#REF!+#REF!+#REF!+#REF!," ")</f>
        <v>#REF!</v>
      </c>
      <c r="L58" s="15" t="e">
        <f>IF('001'!L58+Рабочие!#REF!+#REF!+#REF!+SDLG!#REF!+#REF!+#REF!+#REF!+#REF!+#REF!+#REF!+#REF!+#REF!+#REF!+#REF!+#REF!+#REF!+#REF!+'18'!L58+#REF!+#REF!+#REF!+#REF!,'001'!L58+Рабочие!#REF!+#REF!+#REF!+SDLG!#REF!+#REF!+#REF!+#REF!+#REF!+#REF!+#REF!+#REF!+#REF!+#REF!+#REF!+#REF!+#REF!+#REF!+'18'!L58+#REF!+#REF!+#REF!+#REF!," ")</f>
        <v>#REF!</v>
      </c>
      <c r="M58" s="15" t="e">
        <f>IF('001'!M58+Рабочие!#REF!+#REF!+#REF!+SDLG!#REF!+#REF!+#REF!+#REF!+#REF!+#REF!+#REF!+#REF!+#REF!+#REF!+#REF!+#REF!+#REF!+#REF!+'18'!M58+#REF!+#REF!+#REF!+#REF!,'001'!M58+Рабочие!#REF!+#REF!+#REF!+SDLG!#REF!+#REF!+#REF!+#REF!+#REF!+#REF!+#REF!+#REF!+#REF!+#REF!+#REF!+#REF!+#REF!+#REF!+'18'!M58+#REF!+#REF!+#REF!+#REF!," ")</f>
        <v>#REF!</v>
      </c>
      <c r="N58" s="15" t="e">
        <f>IF('001'!N58+Рабочие!#REF!+#REF!+#REF!+SDLG!#REF!+#REF!+#REF!+#REF!+#REF!+#REF!+#REF!+#REF!+#REF!+#REF!+#REF!+#REF!+#REF!+#REF!+'18'!N58+#REF!+#REF!+#REF!+#REF!,'001'!N58+Рабочие!#REF!+#REF!+#REF!+SDLG!#REF!+#REF!+#REF!+#REF!+#REF!+#REF!+#REF!+#REF!+#REF!+#REF!+#REF!+#REF!+#REF!+#REF!+'18'!N58+#REF!+#REF!+#REF!+#REF!," ")</f>
        <v>#REF!</v>
      </c>
      <c r="O58" s="15" t="e">
        <f>IF('001'!O58+Рабочие!#REF!+#REF!+#REF!+SDLG!#REF!+#REF!+#REF!+#REF!+#REF!+#REF!+#REF!+#REF!+#REF!+#REF!+#REF!+#REF!+#REF!+#REF!+'18'!O58+#REF!+#REF!+#REF!+#REF!,'001'!O58+Рабочие!#REF!+#REF!+#REF!+SDLG!#REF!+#REF!+#REF!+#REF!+#REF!+#REF!+#REF!+#REF!+#REF!+#REF!+#REF!+#REF!+#REF!+#REF!+'18'!O58+#REF!+#REF!+#REF!+#REF!," ")</f>
        <v>#REF!</v>
      </c>
      <c r="P58" s="15" t="e">
        <f>IF('001'!P58+Рабочие!#REF!+#REF!+#REF!+SDLG!#REF!+#REF!+#REF!+#REF!+#REF!+#REF!+#REF!+#REF!+#REF!+#REF!+#REF!+#REF!+#REF!+#REF!+'18'!P58+#REF!+#REF!+#REF!+#REF!,'001'!P58+Рабочие!#REF!+#REF!+#REF!+SDLG!#REF!+#REF!+#REF!+#REF!+#REF!+#REF!+#REF!+#REF!+#REF!+#REF!+#REF!+#REF!+#REF!+#REF!+'18'!P58+#REF!+#REF!+#REF!+#REF!," ")</f>
        <v>#REF!</v>
      </c>
      <c r="Q58" s="15" t="e">
        <f>IF('001'!Q58+Рабочие!#REF!+#REF!+#REF!+SDLG!#REF!+#REF!+#REF!+#REF!+#REF!+#REF!+#REF!+#REF!+#REF!+#REF!+#REF!+#REF!+#REF!+#REF!+'18'!Q58+#REF!+#REF!+#REF!+#REF!,'001'!Q58+Рабочие!#REF!+#REF!+#REF!+SDLG!#REF!+#REF!+#REF!+#REF!+#REF!+#REF!+#REF!+#REF!+#REF!+#REF!+#REF!+#REF!+#REF!+#REF!+'18'!Q58+#REF!+#REF!+#REF!+#REF!," ")</f>
        <v>#REF!</v>
      </c>
      <c r="R58" s="15" t="e">
        <f>IF('001'!R58+Рабочие!#REF!+#REF!+#REF!+SDLG!#REF!+#REF!+#REF!+#REF!+#REF!+#REF!+#REF!+#REF!+#REF!+#REF!+#REF!+#REF!+#REF!+#REF!+'18'!R58+#REF!+#REF!+#REF!+#REF!,'001'!R58+Рабочие!#REF!+#REF!+#REF!+SDLG!#REF!+#REF!+#REF!+#REF!+#REF!+#REF!+#REF!+#REF!+#REF!+#REF!+#REF!+#REF!+#REF!+#REF!+'18'!R58+#REF!+#REF!+#REF!+#REF!," ")</f>
        <v>#REF!</v>
      </c>
      <c r="S58" s="15" t="e">
        <f>IF('001'!S58+Рабочие!#REF!+#REF!+#REF!+SDLG!#REF!+#REF!+#REF!+#REF!+#REF!+#REF!+#REF!+#REF!+#REF!+#REF!+#REF!+#REF!+#REF!+#REF!+'18'!S58+#REF!+#REF!+#REF!+#REF!,'001'!S58+Рабочие!#REF!+#REF!+#REF!+SDLG!#REF!+#REF!+#REF!+#REF!+#REF!+#REF!+#REF!+#REF!+#REF!+#REF!+#REF!+#REF!+#REF!+#REF!+'18'!S58+#REF!+#REF!+#REF!+#REF!," ")</f>
        <v>#REF!</v>
      </c>
      <c r="T58" s="69" t="e">
        <f>SUM(D58:S59)</f>
        <v>#REF!</v>
      </c>
      <c r="U58" s="57"/>
      <c r="V58" s="57"/>
      <c r="W58" s="57"/>
      <c r="X58" s="57"/>
      <c r="Y58" s="115" t="s">
        <v>75</v>
      </c>
      <c r="Z58" s="57"/>
      <c r="AA58" s="57"/>
      <c r="AB58" s="57"/>
      <c r="AC58" s="57"/>
      <c r="AD58" s="57"/>
      <c r="AE58" s="57"/>
      <c r="AF58" s="57"/>
      <c r="AG58" s="113" t="e">
        <f>AE100</f>
        <v>#REF!</v>
      </c>
    </row>
    <row r="59" spans="1:33" x14ac:dyDescent="0.25">
      <c r="A59" s="58"/>
      <c r="B59" s="72"/>
      <c r="C59" s="64"/>
      <c r="D59" s="15" t="e">
        <f>IF('001'!D59+Рабочие!#REF!+#REF!+#REF!+SDLG!#REF!+#REF!+#REF!+#REF!+#REF!+#REF!+#REF!+#REF!+#REF!+#REF!+#REF!+#REF!+#REF!+#REF!+'18'!D59+#REF!+#REF!+#REF!+#REF!,'001'!D59+Рабочие!#REF!+#REF!+#REF!+SDLG!#REF!+#REF!+#REF!+#REF!+#REF!+#REF!+#REF!+#REF!+#REF!+#REF!+#REF!+#REF!+#REF!+#REF!+'18'!D59+#REF!+#REF!+#REF!+#REF!," ")</f>
        <v>#REF!</v>
      </c>
      <c r="E59" s="15" t="e">
        <f>IF('001'!E59+Рабочие!#REF!+#REF!+#REF!+SDLG!#REF!+#REF!+#REF!+#REF!+#REF!+#REF!+#REF!+#REF!+#REF!+#REF!+#REF!+#REF!+#REF!+#REF!+'18'!E59+#REF!+#REF!+#REF!+#REF!,'001'!E59+Рабочие!#REF!+#REF!+#REF!+SDLG!#REF!+#REF!+#REF!+#REF!+#REF!+#REF!+#REF!+#REF!+#REF!+#REF!+#REF!+#REF!+#REF!+#REF!+'18'!E59+#REF!+#REF!+#REF!+#REF!," ")</f>
        <v>#REF!</v>
      </c>
      <c r="F59" s="15" t="e">
        <f>IF('001'!F59+Рабочие!#REF!+#REF!+#REF!+SDLG!#REF!+#REF!+#REF!+#REF!+#REF!+#REF!+#REF!+#REF!+#REF!+#REF!+#REF!+#REF!+#REF!+#REF!+'18'!F59+#REF!+#REF!+#REF!+#REF!,'001'!F59+Рабочие!#REF!+#REF!+#REF!+SDLG!#REF!+#REF!+#REF!+#REF!+#REF!+#REF!+#REF!+#REF!+#REF!+#REF!+#REF!+#REF!+#REF!+#REF!+'18'!F59+#REF!+#REF!+#REF!+#REF!," ")</f>
        <v>#REF!</v>
      </c>
      <c r="G59" s="15" t="e">
        <f>IF('001'!G59+Рабочие!#REF!+#REF!+#REF!+SDLG!#REF!+#REF!+#REF!+#REF!+#REF!+#REF!+#REF!+#REF!+#REF!+#REF!+#REF!+#REF!+#REF!+#REF!+'18'!G59+#REF!+#REF!+#REF!+#REF!,'001'!G59+Рабочие!#REF!+#REF!+#REF!+SDLG!#REF!+#REF!+#REF!+#REF!+#REF!+#REF!+#REF!+#REF!+#REF!+#REF!+#REF!+#REF!+#REF!+#REF!+'18'!G59+#REF!+#REF!+#REF!+#REF!," ")</f>
        <v>#REF!</v>
      </c>
      <c r="H59" s="15" t="e">
        <f>IF('001'!H59+Рабочие!#REF!+#REF!+#REF!+SDLG!#REF!+#REF!+#REF!+#REF!+#REF!+#REF!+#REF!+#REF!+#REF!+#REF!+#REF!+#REF!+#REF!+#REF!+'18'!H59+#REF!+#REF!+#REF!+#REF!,'001'!H59+Рабочие!#REF!+#REF!+#REF!+SDLG!#REF!+#REF!+#REF!+#REF!+#REF!+#REF!+#REF!+#REF!+#REF!+#REF!+#REF!+#REF!+#REF!+#REF!+'18'!H59+#REF!+#REF!+#REF!+#REF!," ")</f>
        <v>#REF!</v>
      </c>
      <c r="I59" s="15" t="e">
        <f>IF('001'!I59+Рабочие!#REF!+#REF!+#REF!+SDLG!#REF!+#REF!+#REF!+#REF!+#REF!+#REF!+#REF!+#REF!+#REF!+#REF!+#REF!+#REF!+#REF!+#REF!+'18'!I59+#REF!+#REF!+#REF!+#REF!,'001'!I59+Рабочие!#REF!+#REF!+#REF!+SDLG!#REF!+#REF!+#REF!+#REF!+#REF!+#REF!+#REF!+#REF!+#REF!+#REF!+#REF!+#REF!+#REF!+#REF!+'18'!I59+#REF!+#REF!+#REF!+#REF!," ")</f>
        <v>#REF!</v>
      </c>
      <c r="J59" s="15" t="e">
        <f>IF('001'!J59+Рабочие!#REF!+#REF!+#REF!+SDLG!#REF!+#REF!+#REF!+#REF!+#REF!+#REF!+#REF!+#REF!+#REF!+#REF!+#REF!+#REF!+#REF!+#REF!+'18'!J59+#REF!+#REF!+#REF!+#REF!,'001'!J59+Рабочие!#REF!+#REF!+#REF!+SDLG!#REF!+#REF!+#REF!+#REF!+#REF!+#REF!+#REF!+#REF!+#REF!+#REF!+#REF!+#REF!+#REF!+#REF!+'18'!J59+#REF!+#REF!+#REF!+#REF!," ")</f>
        <v>#REF!</v>
      </c>
      <c r="K59" s="15" t="e">
        <f>IF('001'!K59+Рабочие!#REF!+#REF!+#REF!+SDLG!#REF!+#REF!+#REF!+#REF!+#REF!+#REF!+#REF!+#REF!+#REF!+#REF!+#REF!+#REF!+#REF!+#REF!+'18'!K59+#REF!+#REF!+#REF!+#REF!,'001'!K59+Рабочие!#REF!+#REF!+#REF!+SDLG!#REF!+#REF!+#REF!+#REF!+#REF!+#REF!+#REF!+#REF!+#REF!+#REF!+#REF!+#REF!+#REF!+#REF!+'18'!K59+#REF!+#REF!+#REF!+#REF!," ")</f>
        <v>#REF!</v>
      </c>
      <c r="L59" s="15" t="e">
        <f>IF('001'!L59+Рабочие!#REF!+#REF!+#REF!+SDLG!#REF!+#REF!+#REF!+#REF!+#REF!+#REF!+#REF!+#REF!+#REF!+#REF!+#REF!+#REF!+#REF!+#REF!+'18'!L59+#REF!+#REF!+#REF!+#REF!,'001'!L59+Рабочие!#REF!+#REF!+#REF!+SDLG!#REF!+#REF!+#REF!+#REF!+#REF!+#REF!+#REF!+#REF!+#REF!+#REF!+#REF!+#REF!+#REF!+#REF!+'18'!L59+#REF!+#REF!+#REF!+#REF!," ")</f>
        <v>#REF!</v>
      </c>
      <c r="M59" s="15" t="e">
        <f>IF('001'!M59+Рабочие!#REF!+#REF!+#REF!+SDLG!#REF!+#REF!+#REF!+#REF!+#REF!+#REF!+#REF!+#REF!+#REF!+#REF!+#REF!+#REF!+#REF!+#REF!+'18'!M59+#REF!+#REF!+#REF!+#REF!,'001'!M59+Рабочие!#REF!+#REF!+#REF!+SDLG!#REF!+#REF!+#REF!+#REF!+#REF!+#REF!+#REF!+#REF!+#REF!+#REF!+#REF!+#REF!+#REF!+#REF!+'18'!M59+#REF!+#REF!+#REF!+#REF!," ")</f>
        <v>#REF!</v>
      </c>
      <c r="N59" s="15" t="e">
        <f>IF('001'!N59+Рабочие!#REF!+#REF!+#REF!+SDLG!#REF!+#REF!+#REF!+#REF!+#REF!+#REF!+#REF!+#REF!+#REF!+#REF!+#REF!+#REF!+#REF!+#REF!+'18'!N59+#REF!+#REF!+#REF!+#REF!,'001'!N59+Рабочие!#REF!+#REF!+#REF!+SDLG!#REF!+#REF!+#REF!+#REF!+#REF!+#REF!+#REF!+#REF!+#REF!+#REF!+#REF!+#REF!+#REF!+#REF!+'18'!N59+#REF!+#REF!+#REF!+#REF!," ")</f>
        <v>#REF!</v>
      </c>
      <c r="O59" s="15" t="e">
        <f>IF('001'!O59+Рабочие!#REF!+#REF!+#REF!+SDLG!#REF!+#REF!+#REF!+#REF!+#REF!+#REF!+#REF!+#REF!+#REF!+#REF!+#REF!+#REF!+#REF!+#REF!+'18'!O59+#REF!+#REF!+#REF!+#REF!,'001'!O59+Рабочие!#REF!+#REF!+#REF!+SDLG!#REF!+#REF!+#REF!+#REF!+#REF!+#REF!+#REF!+#REF!+#REF!+#REF!+#REF!+#REF!+#REF!+#REF!+'18'!O59+#REF!+#REF!+#REF!+#REF!," ")</f>
        <v>#REF!</v>
      </c>
      <c r="P59" s="15" t="e">
        <f>IF('001'!P59+Рабочие!#REF!+#REF!+#REF!+SDLG!#REF!+#REF!+#REF!+#REF!+#REF!+#REF!+#REF!+#REF!+#REF!+#REF!+#REF!+#REF!+#REF!+#REF!+'18'!P59+#REF!+#REF!+#REF!+#REF!,'001'!P59+Рабочие!#REF!+#REF!+#REF!+SDLG!#REF!+#REF!+#REF!+#REF!+#REF!+#REF!+#REF!+#REF!+#REF!+#REF!+#REF!+#REF!+#REF!+#REF!+'18'!P59+#REF!+#REF!+#REF!+#REF!," ")</f>
        <v>#REF!</v>
      </c>
      <c r="Q59" s="15" t="e">
        <f>IF('001'!Q59+Рабочие!#REF!+#REF!+#REF!+SDLG!#REF!+#REF!+#REF!+#REF!+#REF!+#REF!+#REF!+#REF!+#REF!+#REF!+#REF!+#REF!+#REF!+#REF!+'18'!Q59+#REF!+#REF!+#REF!+#REF!,'001'!Q59+Рабочие!#REF!+#REF!+#REF!+SDLG!#REF!+#REF!+#REF!+#REF!+#REF!+#REF!+#REF!+#REF!+#REF!+#REF!+#REF!+#REF!+#REF!+#REF!+'18'!Q59+#REF!+#REF!+#REF!+#REF!," ")</f>
        <v>#REF!</v>
      </c>
      <c r="R59" s="15" t="e">
        <f>IF('001'!R59+Рабочие!#REF!+#REF!+#REF!+SDLG!#REF!+#REF!+#REF!+#REF!+#REF!+#REF!+#REF!+#REF!+#REF!+#REF!+#REF!+#REF!+#REF!+#REF!+'18'!R59+#REF!+#REF!+#REF!+#REF!,'001'!R59+Рабочие!#REF!+#REF!+#REF!+SDLG!#REF!+#REF!+#REF!+#REF!+#REF!+#REF!+#REF!+#REF!+#REF!+#REF!+#REF!+#REF!+#REF!+#REF!+'18'!R59+#REF!+#REF!+#REF!+#REF!," ")</f>
        <v>#REF!</v>
      </c>
      <c r="S59" s="15" t="e">
        <f>IF('001'!S59+Рабочие!#REF!+#REF!+#REF!+SDLG!#REF!+#REF!+#REF!+#REF!+#REF!+#REF!+#REF!+#REF!+#REF!+#REF!+#REF!+#REF!+#REF!+#REF!+'18'!S59+#REF!+#REF!+#REF!+#REF!,'001'!S59+Рабочие!#REF!+#REF!+#REF!+SDLG!#REF!+#REF!+#REF!+#REF!+#REF!+#REF!+#REF!+#REF!+#REF!+#REF!+#REF!+#REF!+#REF!+#REF!+'18'!S59+#REF!+#REF!+#REF!+#REF!," ")</f>
        <v>#REF!</v>
      </c>
      <c r="T59" s="70"/>
      <c r="U59" s="58"/>
      <c r="V59" s="58"/>
      <c r="W59" s="58"/>
      <c r="X59" s="58"/>
      <c r="Y59" s="116"/>
      <c r="Z59" s="58"/>
      <c r="AA59" s="58"/>
      <c r="AB59" s="58"/>
      <c r="AC59" s="58"/>
      <c r="AD59" s="58"/>
      <c r="AE59" s="58"/>
      <c r="AF59" s="58"/>
      <c r="AG59" s="114"/>
    </row>
    <row r="60" spans="1:33" x14ac:dyDescent="0.25">
      <c r="A60" s="57">
        <v>8</v>
      </c>
      <c r="B60" s="71" t="s">
        <v>95</v>
      </c>
      <c r="C60" s="63">
        <v>4</v>
      </c>
      <c r="D60" s="15" t="e">
        <f>IF('001'!D60+Рабочие!#REF!+#REF!+#REF!+SDLG!#REF!+#REF!+#REF!+#REF!+#REF!+#REF!+#REF!+#REF!+#REF!+#REF!+#REF!+#REF!+#REF!+#REF!+'18'!D60+#REF!+#REF!+#REF!+#REF!,'001'!D60+Рабочие!#REF!+#REF!+#REF!+SDLG!#REF!+#REF!+#REF!+#REF!+#REF!+#REF!+#REF!+#REF!+#REF!+#REF!+#REF!+#REF!+#REF!+#REF!+'18'!D60+#REF!+#REF!+#REF!+#REF!," ")</f>
        <v>#REF!</v>
      </c>
      <c r="E60" s="15" t="e">
        <f>IF('001'!E60+Рабочие!#REF!+#REF!+#REF!+SDLG!#REF!+#REF!+#REF!+#REF!+#REF!+#REF!+#REF!+#REF!+#REF!+#REF!+#REF!+#REF!+#REF!+#REF!+'18'!E60+#REF!+#REF!+#REF!+#REF!,'001'!E60+Рабочие!#REF!+#REF!+#REF!+SDLG!#REF!+#REF!+#REF!+#REF!+#REF!+#REF!+#REF!+#REF!+#REF!+#REF!+#REF!+#REF!+#REF!+#REF!+'18'!E60+#REF!+#REF!+#REF!+#REF!," ")</f>
        <v>#REF!</v>
      </c>
      <c r="F60" s="15" t="e">
        <f>IF('001'!F60+Рабочие!#REF!+#REF!+#REF!+SDLG!#REF!+#REF!+#REF!+#REF!+#REF!+#REF!+#REF!+#REF!+#REF!+#REF!+#REF!+#REF!+#REF!+#REF!+'18'!F60+#REF!+#REF!+#REF!+#REF!,'001'!F60+Рабочие!#REF!+#REF!+#REF!+SDLG!#REF!+#REF!+#REF!+#REF!+#REF!+#REF!+#REF!+#REF!+#REF!+#REF!+#REF!+#REF!+#REF!+#REF!+'18'!F60+#REF!+#REF!+#REF!+#REF!," ")</f>
        <v>#REF!</v>
      </c>
      <c r="G60" s="15" t="e">
        <f>IF('001'!G60+Рабочие!#REF!+#REF!+#REF!+SDLG!#REF!+#REF!+#REF!+#REF!+#REF!+#REF!+#REF!+#REF!+#REF!+#REF!+#REF!+#REF!+#REF!+#REF!+'18'!G60+#REF!+#REF!+#REF!+#REF!,'001'!G60+Рабочие!#REF!+#REF!+#REF!+SDLG!#REF!+#REF!+#REF!+#REF!+#REF!+#REF!+#REF!+#REF!+#REF!+#REF!+#REF!+#REF!+#REF!+#REF!+'18'!G60+#REF!+#REF!+#REF!+#REF!," ")</f>
        <v>#REF!</v>
      </c>
      <c r="H60" s="15" t="e">
        <f>IF('001'!H60+Рабочие!#REF!+#REF!+#REF!+SDLG!#REF!+#REF!+#REF!+#REF!+#REF!+#REF!+#REF!+#REF!+#REF!+#REF!+#REF!+#REF!+#REF!+#REF!+'18'!H60+#REF!+#REF!+#REF!+#REF!,'001'!H60+Рабочие!#REF!+#REF!+#REF!+SDLG!#REF!+#REF!+#REF!+#REF!+#REF!+#REF!+#REF!+#REF!+#REF!+#REF!+#REF!+#REF!+#REF!+#REF!+'18'!H60+#REF!+#REF!+#REF!+#REF!," ")</f>
        <v>#REF!</v>
      </c>
      <c r="I60" s="15" t="e">
        <f>IF('001'!I60+Рабочие!#REF!+#REF!+#REF!+SDLG!#REF!+#REF!+#REF!+#REF!+#REF!+#REF!+#REF!+#REF!+#REF!+#REF!+#REF!+#REF!+#REF!+#REF!+'18'!I60+#REF!+#REF!+#REF!+#REF!,'001'!I60+Рабочие!#REF!+#REF!+#REF!+SDLG!#REF!+#REF!+#REF!+#REF!+#REF!+#REF!+#REF!+#REF!+#REF!+#REF!+#REF!+#REF!+#REF!+#REF!+'18'!I60+#REF!+#REF!+#REF!+#REF!," ")</f>
        <v>#REF!</v>
      </c>
      <c r="J60" s="15" t="e">
        <f>IF('001'!J60+Рабочие!#REF!+#REF!+#REF!+SDLG!#REF!+#REF!+#REF!+#REF!+#REF!+#REF!+#REF!+#REF!+#REF!+#REF!+#REF!+#REF!+#REF!+#REF!+'18'!J60+#REF!+#REF!+#REF!+#REF!,'001'!J60+Рабочие!#REF!+#REF!+#REF!+SDLG!#REF!+#REF!+#REF!+#REF!+#REF!+#REF!+#REF!+#REF!+#REF!+#REF!+#REF!+#REF!+#REF!+#REF!+'18'!J60+#REF!+#REF!+#REF!+#REF!," ")</f>
        <v>#REF!</v>
      </c>
      <c r="K60" s="15" t="e">
        <f>IF('001'!K60+Рабочие!#REF!+#REF!+#REF!+SDLG!#REF!+#REF!+#REF!+#REF!+#REF!+#REF!+#REF!+#REF!+#REF!+#REF!+#REF!+#REF!+#REF!+#REF!+'18'!K60+#REF!+#REF!+#REF!+#REF!,'001'!K60+Рабочие!#REF!+#REF!+#REF!+SDLG!#REF!+#REF!+#REF!+#REF!+#REF!+#REF!+#REF!+#REF!+#REF!+#REF!+#REF!+#REF!+#REF!+#REF!+'18'!K60+#REF!+#REF!+#REF!+#REF!," ")</f>
        <v>#REF!</v>
      </c>
      <c r="L60" s="15" t="e">
        <f>IF('001'!L60+Рабочие!#REF!+#REF!+#REF!+SDLG!#REF!+#REF!+#REF!+#REF!+#REF!+#REF!+#REF!+#REF!+#REF!+#REF!+#REF!+#REF!+#REF!+#REF!+'18'!L60+#REF!+#REF!+#REF!+#REF!,'001'!L60+Рабочие!#REF!+#REF!+#REF!+SDLG!#REF!+#REF!+#REF!+#REF!+#REF!+#REF!+#REF!+#REF!+#REF!+#REF!+#REF!+#REF!+#REF!+#REF!+'18'!L60+#REF!+#REF!+#REF!+#REF!," ")</f>
        <v>#REF!</v>
      </c>
      <c r="M60" s="15" t="e">
        <f>IF('001'!M60+Рабочие!#REF!+#REF!+#REF!+SDLG!#REF!+#REF!+#REF!+#REF!+#REF!+#REF!+#REF!+#REF!+#REF!+#REF!+#REF!+#REF!+#REF!+#REF!+'18'!M60+#REF!+#REF!+#REF!+#REF!,'001'!M60+Рабочие!#REF!+#REF!+#REF!+SDLG!#REF!+#REF!+#REF!+#REF!+#REF!+#REF!+#REF!+#REF!+#REF!+#REF!+#REF!+#REF!+#REF!+#REF!+'18'!M60+#REF!+#REF!+#REF!+#REF!," ")</f>
        <v>#REF!</v>
      </c>
      <c r="N60" s="15" t="e">
        <f>IF('001'!N60+Рабочие!#REF!+#REF!+#REF!+SDLG!#REF!+#REF!+#REF!+#REF!+#REF!+#REF!+#REF!+#REF!+#REF!+#REF!+#REF!+#REF!+#REF!+#REF!+'18'!N60+#REF!+#REF!+#REF!+#REF!,'001'!N60+Рабочие!#REF!+#REF!+#REF!+SDLG!#REF!+#REF!+#REF!+#REF!+#REF!+#REF!+#REF!+#REF!+#REF!+#REF!+#REF!+#REF!+#REF!+#REF!+'18'!N60+#REF!+#REF!+#REF!+#REF!," ")</f>
        <v>#REF!</v>
      </c>
      <c r="O60" s="15" t="e">
        <f>IF('001'!O60+Рабочие!#REF!+#REF!+#REF!+SDLG!#REF!+#REF!+#REF!+#REF!+#REF!+#REF!+#REF!+#REF!+#REF!+#REF!+#REF!+#REF!+#REF!+#REF!+'18'!O60+#REF!+#REF!+#REF!+#REF!,'001'!O60+Рабочие!#REF!+#REF!+#REF!+SDLG!#REF!+#REF!+#REF!+#REF!+#REF!+#REF!+#REF!+#REF!+#REF!+#REF!+#REF!+#REF!+#REF!+#REF!+'18'!O60+#REF!+#REF!+#REF!+#REF!," ")</f>
        <v>#REF!</v>
      </c>
      <c r="P60" s="15" t="e">
        <f>IF('001'!P60+Рабочие!#REF!+#REF!+#REF!+SDLG!#REF!+#REF!+#REF!+#REF!+#REF!+#REF!+#REF!+#REF!+#REF!+#REF!+#REF!+#REF!+#REF!+#REF!+'18'!P60+#REF!+#REF!+#REF!+#REF!,'001'!P60+Рабочие!#REF!+#REF!+#REF!+SDLG!#REF!+#REF!+#REF!+#REF!+#REF!+#REF!+#REF!+#REF!+#REF!+#REF!+#REF!+#REF!+#REF!+#REF!+'18'!P60+#REF!+#REF!+#REF!+#REF!," ")</f>
        <v>#REF!</v>
      </c>
      <c r="Q60" s="15" t="e">
        <f>IF('001'!Q60+Рабочие!#REF!+#REF!+#REF!+SDLG!#REF!+#REF!+#REF!+#REF!+#REF!+#REF!+#REF!+#REF!+#REF!+#REF!+#REF!+#REF!+#REF!+#REF!+'18'!Q60+#REF!+#REF!+#REF!+#REF!,'001'!Q60+Рабочие!#REF!+#REF!+#REF!+SDLG!#REF!+#REF!+#REF!+#REF!+#REF!+#REF!+#REF!+#REF!+#REF!+#REF!+#REF!+#REF!+#REF!+#REF!+'18'!Q60+#REF!+#REF!+#REF!+#REF!," ")</f>
        <v>#REF!</v>
      </c>
      <c r="R60" s="15" t="e">
        <f>IF('001'!R60+Рабочие!#REF!+#REF!+#REF!+SDLG!#REF!+#REF!+#REF!+#REF!+#REF!+#REF!+#REF!+#REF!+#REF!+#REF!+#REF!+#REF!+#REF!+#REF!+'18'!R60+#REF!+#REF!+#REF!+#REF!,'001'!R60+Рабочие!#REF!+#REF!+#REF!+SDLG!#REF!+#REF!+#REF!+#REF!+#REF!+#REF!+#REF!+#REF!+#REF!+#REF!+#REF!+#REF!+#REF!+#REF!+'18'!R60+#REF!+#REF!+#REF!+#REF!," ")</f>
        <v>#REF!</v>
      </c>
      <c r="S60" s="15" t="e">
        <f>IF('001'!S60+Рабочие!#REF!+#REF!+#REF!+SDLG!#REF!+#REF!+#REF!+#REF!+#REF!+#REF!+#REF!+#REF!+#REF!+#REF!+#REF!+#REF!+#REF!+#REF!+'18'!S60+#REF!+#REF!+#REF!+#REF!,'001'!S60+Рабочие!#REF!+#REF!+#REF!+SDLG!#REF!+#REF!+#REF!+#REF!+#REF!+#REF!+#REF!+#REF!+#REF!+#REF!+#REF!+#REF!+#REF!+#REF!+'18'!S60+#REF!+#REF!+#REF!+#REF!," ")</f>
        <v>#REF!</v>
      </c>
      <c r="T60" s="69" t="e">
        <f>SUM(D60:S61)</f>
        <v>#REF!</v>
      </c>
      <c r="U60" s="57"/>
      <c r="V60" s="57"/>
      <c r="W60" s="57"/>
      <c r="X60" s="57"/>
      <c r="Y60" s="115" t="s">
        <v>75</v>
      </c>
      <c r="Z60" s="57"/>
      <c r="AA60" s="57"/>
      <c r="AB60" s="57"/>
      <c r="AC60" s="57"/>
      <c r="AD60" s="57"/>
      <c r="AE60" s="57"/>
      <c r="AF60" s="57"/>
      <c r="AG60" s="113" t="e">
        <f>AE101</f>
        <v>#REF!</v>
      </c>
    </row>
    <row r="61" spans="1:33" x14ac:dyDescent="0.25">
      <c r="A61" s="58"/>
      <c r="B61" s="72"/>
      <c r="C61" s="64"/>
      <c r="D61" s="15" t="e">
        <f>IF('001'!D61+Рабочие!#REF!+#REF!+#REF!+SDLG!#REF!+#REF!+#REF!+#REF!+#REF!+#REF!+#REF!+#REF!+#REF!+#REF!+#REF!+#REF!+#REF!+#REF!+'18'!D61+#REF!+#REF!+#REF!+#REF!,'001'!D61+Рабочие!#REF!+#REF!+#REF!+SDLG!#REF!+#REF!+#REF!+#REF!+#REF!+#REF!+#REF!+#REF!+#REF!+#REF!+#REF!+#REF!+#REF!+#REF!+'18'!D61+#REF!+#REF!+#REF!+#REF!," ")</f>
        <v>#REF!</v>
      </c>
      <c r="E61" s="15" t="e">
        <f>IF('001'!E61+Рабочие!#REF!+#REF!+#REF!+SDLG!#REF!+#REF!+#REF!+#REF!+#REF!+#REF!+#REF!+#REF!+#REF!+#REF!+#REF!+#REF!+#REF!+#REF!+'18'!E61+#REF!+#REF!+#REF!+#REF!,'001'!E61+Рабочие!#REF!+#REF!+#REF!+SDLG!#REF!+#REF!+#REF!+#REF!+#REF!+#REF!+#REF!+#REF!+#REF!+#REF!+#REF!+#REF!+#REF!+#REF!+'18'!E61+#REF!+#REF!+#REF!+#REF!," ")</f>
        <v>#REF!</v>
      </c>
      <c r="F61" s="15" t="e">
        <f>IF('001'!F61+Рабочие!#REF!+#REF!+#REF!+SDLG!#REF!+#REF!+#REF!+#REF!+#REF!+#REF!+#REF!+#REF!+#REF!+#REF!+#REF!+#REF!+#REF!+#REF!+'18'!F61+#REF!+#REF!+#REF!+#REF!,'001'!F61+Рабочие!#REF!+#REF!+#REF!+SDLG!#REF!+#REF!+#REF!+#REF!+#REF!+#REF!+#REF!+#REF!+#REF!+#REF!+#REF!+#REF!+#REF!+#REF!+'18'!F61+#REF!+#REF!+#REF!+#REF!," ")</f>
        <v>#REF!</v>
      </c>
      <c r="G61" s="15" t="e">
        <f>IF('001'!G61+Рабочие!#REF!+#REF!+#REF!+SDLG!#REF!+#REF!+#REF!+#REF!+#REF!+#REF!+#REF!+#REF!+#REF!+#REF!+#REF!+#REF!+#REF!+#REF!+'18'!G61+#REF!+#REF!+#REF!+#REF!,'001'!G61+Рабочие!#REF!+#REF!+#REF!+SDLG!#REF!+#REF!+#REF!+#REF!+#REF!+#REF!+#REF!+#REF!+#REF!+#REF!+#REF!+#REF!+#REF!+#REF!+'18'!G61+#REF!+#REF!+#REF!+#REF!," ")</f>
        <v>#REF!</v>
      </c>
      <c r="H61" s="15" t="e">
        <f>IF('001'!H61+Рабочие!#REF!+#REF!+#REF!+SDLG!#REF!+#REF!+#REF!+#REF!+#REF!+#REF!+#REF!+#REF!+#REF!+#REF!+#REF!+#REF!+#REF!+#REF!+'18'!H61+#REF!+#REF!+#REF!+#REF!,'001'!H61+Рабочие!#REF!+#REF!+#REF!+SDLG!#REF!+#REF!+#REF!+#REF!+#REF!+#REF!+#REF!+#REF!+#REF!+#REF!+#REF!+#REF!+#REF!+#REF!+'18'!H61+#REF!+#REF!+#REF!+#REF!," ")</f>
        <v>#REF!</v>
      </c>
      <c r="I61" s="15" t="e">
        <f>IF('001'!I61+Рабочие!#REF!+#REF!+#REF!+SDLG!#REF!+#REF!+#REF!+#REF!+#REF!+#REF!+#REF!+#REF!+#REF!+#REF!+#REF!+#REF!+#REF!+#REF!+'18'!I61+#REF!+#REF!+#REF!+#REF!,'001'!I61+Рабочие!#REF!+#REF!+#REF!+SDLG!#REF!+#REF!+#REF!+#REF!+#REF!+#REF!+#REF!+#REF!+#REF!+#REF!+#REF!+#REF!+#REF!+#REF!+'18'!I61+#REF!+#REF!+#REF!+#REF!," ")</f>
        <v>#REF!</v>
      </c>
      <c r="J61" s="15" t="e">
        <f>IF('001'!J61+Рабочие!#REF!+#REF!+#REF!+SDLG!#REF!+#REF!+#REF!+#REF!+#REF!+#REF!+#REF!+#REF!+#REF!+#REF!+#REF!+#REF!+#REF!+#REF!+'18'!J61+#REF!+#REF!+#REF!+#REF!,'001'!J61+Рабочие!#REF!+#REF!+#REF!+SDLG!#REF!+#REF!+#REF!+#REF!+#REF!+#REF!+#REF!+#REF!+#REF!+#REF!+#REF!+#REF!+#REF!+#REF!+'18'!J61+#REF!+#REF!+#REF!+#REF!," ")</f>
        <v>#REF!</v>
      </c>
      <c r="K61" s="15" t="e">
        <f>IF('001'!K61+Рабочие!#REF!+#REF!+#REF!+SDLG!#REF!+#REF!+#REF!+#REF!+#REF!+#REF!+#REF!+#REF!+#REF!+#REF!+#REF!+#REF!+#REF!+#REF!+'18'!K61+#REF!+#REF!+#REF!+#REF!,'001'!K61+Рабочие!#REF!+#REF!+#REF!+SDLG!#REF!+#REF!+#REF!+#REF!+#REF!+#REF!+#REF!+#REF!+#REF!+#REF!+#REF!+#REF!+#REF!+#REF!+'18'!K61+#REF!+#REF!+#REF!+#REF!," ")</f>
        <v>#REF!</v>
      </c>
      <c r="L61" s="15" t="e">
        <f>IF('001'!L61+Рабочие!#REF!+#REF!+#REF!+SDLG!#REF!+#REF!+#REF!+#REF!+#REF!+#REF!+#REF!+#REF!+#REF!+#REF!+#REF!+#REF!+#REF!+#REF!+'18'!L61+#REF!+#REF!+#REF!+#REF!,'001'!L61+Рабочие!#REF!+#REF!+#REF!+SDLG!#REF!+#REF!+#REF!+#REF!+#REF!+#REF!+#REF!+#REF!+#REF!+#REF!+#REF!+#REF!+#REF!+#REF!+'18'!L61+#REF!+#REF!+#REF!+#REF!," ")</f>
        <v>#REF!</v>
      </c>
      <c r="M61" s="15" t="e">
        <f>IF('001'!M61+Рабочие!#REF!+#REF!+#REF!+SDLG!#REF!+#REF!+#REF!+#REF!+#REF!+#REF!+#REF!+#REF!+#REF!+#REF!+#REF!+#REF!+#REF!+#REF!+'18'!M61+#REF!+#REF!+#REF!+#REF!,'001'!M61+Рабочие!#REF!+#REF!+#REF!+SDLG!#REF!+#REF!+#REF!+#REF!+#REF!+#REF!+#REF!+#REF!+#REF!+#REF!+#REF!+#REF!+#REF!+#REF!+'18'!M61+#REF!+#REF!+#REF!+#REF!," ")</f>
        <v>#REF!</v>
      </c>
      <c r="N61" s="15" t="e">
        <f>IF('001'!N61+Рабочие!#REF!+#REF!+#REF!+SDLG!#REF!+#REF!+#REF!+#REF!+#REF!+#REF!+#REF!+#REF!+#REF!+#REF!+#REF!+#REF!+#REF!+#REF!+'18'!N61+#REF!+#REF!+#REF!+#REF!,'001'!N61+Рабочие!#REF!+#REF!+#REF!+SDLG!#REF!+#REF!+#REF!+#REF!+#REF!+#REF!+#REF!+#REF!+#REF!+#REF!+#REF!+#REF!+#REF!+#REF!+'18'!N61+#REF!+#REF!+#REF!+#REF!," ")</f>
        <v>#REF!</v>
      </c>
      <c r="O61" s="15" t="e">
        <f>IF('001'!O61+Рабочие!#REF!+#REF!+#REF!+SDLG!#REF!+#REF!+#REF!+#REF!+#REF!+#REF!+#REF!+#REF!+#REF!+#REF!+#REF!+#REF!+#REF!+#REF!+'18'!O61+#REF!+#REF!+#REF!+#REF!,'001'!O61+Рабочие!#REF!+#REF!+#REF!+SDLG!#REF!+#REF!+#REF!+#REF!+#REF!+#REF!+#REF!+#REF!+#REF!+#REF!+#REF!+#REF!+#REF!+#REF!+'18'!O61+#REF!+#REF!+#REF!+#REF!," ")</f>
        <v>#REF!</v>
      </c>
      <c r="P61" s="15" t="e">
        <f>IF('001'!P61+Рабочие!#REF!+#REF!+#REF!+SDLG!#REF!+#REF!+#REF!+#REF!+#REF!+#REF!+#REF!+#REF!+#REF!+#REF!+#REF!+#REF!+#REF!+#REF!+'18'!P61+#REF!+#REF!+#REF!+#REF!,'001'!P61+Рабочие!#REF!+#REF!+#REF!+SDLG!#REF!+#REF!+#REF!+#REF!+#REF!+#REF!+#REF!+#REF!+#REF!+#REF!+#REF!+#REF!+#REF!+#REF!+'18'!P61+#REF!+#REF!+#REF!+#REF!," ")</f>
        <v>#REF!</v>
      </c>
      <c r="Q61" s="15" t="e">
        <f>IF('001'!Q61+Рабочие!#REF!+#REF!+#REF!+SDLG!#REF!+#REF!+#REF!+#REF!+#REF!+#REF!+#REF!+#REF!+#REF!+#REF!+#REF!+#REF!+#REF!+#REF!+'18'!Q61+#REF!+#REF!+#REF!+#REF!,'001'!Q61+Рабочие!#REF!+#REF!+#REF!+SDLG!#REF!+#REF!+#REF!+#REF!+#REF!+#REF!+#REF!+#REF!+#REF!+#REF!+#REF!+#REF!+#REF!+#REF!+'18'!Q61+#REF!+#REF!+#REF!+#REF!," ")</f>
        <v>#REF!</v>
      </c>
      <c r="R61" s="15" t="e">
        <f>IF('001'!R61+Рабочие!#REF!+#REF!+#REF!+SDLG!#REF!+#REF!+#REF!+#REF!+#REF!+#REF!+#REF!+#REF!+#REF!+#REF!+#REF!+#REF!+#REF!+#REF!+'18'!R61+#REF!+#REF!+#REF!+#REF!,'001'!R61+Рабочие!#REF!+#REF!+#REF!+SDLG!#REF!+#REF!+#REF!+#REF!+#REF!+#REF!+#REF!+#REF!+#REF!+#REF!+#REF!+#REF!+#REF!+#REF!+'18'!R61+#REF!+#REF!+#REF!+#REF!," ")</f>
        <v>#REF!</v>
      </c>
      <c r="S61" s="15" t="e">
        <f>IF('001'!S61+Рабочие!#REF!+#REF!+#REF!+SDLG!#REF!+#REF!+#REF!+#REF!+#REF!+#REF!+#REF!+#REF!+#REF!+#REF!+#REF!+#REF!+#REF!+#REF!+'18'!S61+#REF!+#REF!+#REF!+#REF!,'001'!S61+Рабочие!#REF!+#REF!+#REF!+SDLG!#REF!+#REF!+#REF!+#REF!+#REF!+#REF!+#REF!+#REF!+#REF!+#REF!+#REF!+#REF!+#REF!+#REF!+'18'!S61+#REF!+#REF!+#REF!+#REF!," ")</f>
        <v>#REF!</v>
      </c>
      <c r="T61" s="70"/>
      <c r="U61" s="58"/>
      <c r="V61" s="58"/>
      <c r="W61" s="58"/>
      <c r="X61" s="58"/>
      <c r="Y61" s="116"/>
      <c r="Z61" s="58"/>
      <c r="AA61" s="58"/>
      <c r="AB61" s="58"/>
      <c r="AC61" s="58"/>
      <c r="AD61" s="58"/>
      <c r="AE61" s="58"/>
      <c r="AF61" s="58"/>
      <c r="AG61" s="114"/>
    </row>
    <row r="62" spans="1:33" x14ac:dyDescent="0.25">
      <c r="A62" s="57">
        <v>9</v>
      </c>
      <c r="B62" s="71" t="s">
        <v>53</v>
      </c>
      <c r="C62" s="63">
        <v>3</v>
      </c>
      <c r="D62" s="15" t="e">
        <f>IF('001'!D62+Рабочие!#REF!+#REF!+#REF!+SDLG!#REF!+#REF!+#REF!+#REF!+#REF!+#REF!+#REF!+#REF!+#REF!+#REF!+#REF!+#REF!+#REF!+#REF!+'18'!D62+#REF!+#REF!+#REF!+#REF!,'001'!D62+Рабочие!#REF!+#REF!+#REF!+SDLG!#REF!+#REF!+#REF!+#REF!+#REF!+#REF!+#REF!+#REF!+#REF!+#REF!+#REF!+#REF!+#REF!+#REF!+'18'!D62+#REF!+#REF!+#REF!+#REF!," ")</f>
        <v>#REF!</v>
      </c>
      <c r="E62" s="15" t="e">
        <f>IF('001'!E62+Рабочие!#REF!+#REF!+#REF!+SDLG!#REF!+#REF!+#REF!+#REF!+#REF!+#REF!+#REF!+#REF!+#REF!+#REF!+#REF!+#REF!+#REF!+#REF!+'18'!E62+#REF!+#REF!+#REF!+#REF!,'001'!E62+Рабочие!#REF!+#REF!+#REF!+SDLG!#REF!+#REF!+#REF!+#REF!+#REF!+#REF!+#REF!+#REF!+#REF!+#REF!+#REF!+#REF!+#REF!+#REF!+'18'!E62+#REF!+#REF!+#REF!+#REF!," ")</f>
        <v>#REF!</v>
      </c>
      <c r="F62" s="15" t="e">
        <f>IF('001'!F62+Рабочие!#REF!+#REF!+#REF!+SDLG!#REF!+#REF!+#REF!+#REF!+#REF!+#REF!+#REF!+#REF!+#REF!+#REF!+#REF!+#REF!+#REF!+#REF!+'18'!F62+#REF!+#REF!+#REF!+#REF!,'001'!F62+Рабочие!#REF!+#REF!+#REF!+SDLG!#REF!+#REF!+#REF!+#REF!+#REF!+#REF!+#REF!+#REF!+#REF!+#REF!+#REF!+#REF!+#REF!+#REF!+'18'!F62+#REF!+#REF!+#REF!+#REF!," ")</f>
        <v>#REF!</v>
      </c>
      <c r="G62" s="15" t="e">
        <f>IF('001'!G62+Рабочие!#REF!+#REF!+#REF!+SDLG!#REF!+#REF!+#REF!+#REF!+#REF!+#REF!+#REF!+#REF!+#REF!+#REF!+#REF!+#REF!+#REF!+#REF!+'18'!G62+#REF!+#REF!+#REF!+#REF!,'001'!G62+Рабочие!#REF!+#REF!+#REF!+SDLG!#REF!+#REF!+#REF!+#REF!+#REF!+#REF!+#REF!+#REF!+#REF!+#REF!+#REF!+#REF!+#REF!+#REF!+'18'!G62+#REF!+#REF!+#REF!+#REF!," ")</f>
        <v>#REF!</v>
      </c>
      <c r="H62" s="15" t="e">
        <f>IF('001'!H62+Рабочие!#REF!+#REF!+#REF!+SDLG!#REF!+#REF!+#REF!+#REF!+#REF!+#REF!+#REF!+#REF!+#REF!+#REF!+#REF!+#REF!+#REF!+#REF!+'18'!H62+#REF!+#REF!+#REF!+#REF!,'001'!H62+Рабочие!#REF!+#REF!+#REF!+SDLG!#REF!+#REF!+#REF!+#REF!+#REF!+#REF!+#REF!+#REF!+#REF!+#REF!+#REF!+#REF!+#REF!+#REF!+'18'!H62+#REF!+#REF!+#REF!+#REF!," ")</f>
        <v>#REF!</v>
      </c>
      <c r="I62" s="15" t="e">
        <f>IF('001'!I62+Рабочие!#REF!+#REF!+#REF!+SDLG!#REF!+#REF!+#REF!+#REF!+#REF!+#REF!+#REF!+#REF!+#REF!+#REF!+#REF!+#REF!+#REF!+#REF!+'18'!I62+#REF!+#REF!+#REF!+#REF!,'001'!I62+Рабочие!#REF!+#REF!+#REF!+SDLG!#REF!+#REF!+#REF!+#REF!+#REF!+#REF!+#REF!+#REF!+#REF!+#REF!+#REF!+#REF!+#REF!+#REF!+'18'!I62+#REF!+#REF!+#REF!+#REF!," ")</f>
        <v>#REF!</v>
      </c>
      <c r="J62" s="15" t="e">
        <f>IF('001'!J62+Рабочие!#REF!+#REF!+#REF!+SDLG!#REF!+#REF!+#REF!+#REF!+#REF!+#REF!+#REF!+#REF!+#REF!+#REF!+#REF!+#REF!+#REF!+#REF!+'18'!J62+#REF!+#REF!+#REF!+#REF!,'001'!J62+Рабочие!#REF!+#REF!+#REF!+SDLG!#REF!+#REF!+#REF!+#REF!+#REF!+#REF!+#REF!+#REF!+#REF!+#REF!+#REF!+#REF!+#REF!+#REF!+'18'!J62+#REF!+#REF!+#REF!+#REF!," ")</f>
        <v>#REF!</v>
      </c>
      <c r="K62" s="15" t="e">
        <f>IF('001'!K62+Рабочие!#REF!+#REF!+#REF!+SDLG!#REF!+#REF!+#REF!+#REF!+#REF!+#REF!+#REF!+#REF!+#REF!+#REF!+#REF!+#REF!+#REF!+#REF!+'18'!K62+#REF!+#REF!+#REF!+#REF!,'001'!K62+Рабочие!#REF!+#REF!+#REF!+SDLG!#REF!+#REF!+#REF!+#REF!+#REF!+#REF!+#REF!+#REF!+#REF!+#REF!+#REF!+#REF!+#REF!+#REF!+'18'!K62+#REF!+#REF!+#REF!+#REF!," ")</f>
        <v>#REF!</v>
      </c>
      <c r="L62" s="15" t="e">
        <f>IF('001'!L62+Рабочие!#REF!+#REF!+#REF!+SDLG!#REF!+#REF!+#REF!+#REF!+#REF!+#REF!+#REF!+#REF!+#REF!+#REF!+#REF!+#REF!+#REF!+#REF!+'18'!L62+#REF!+#REF!+#REF!+#REF!,'001'!L62+Рабочие!#REF!+#REF!+#REF!+SDLG!#REF!+#REF!+#REF!+#REF!+#REF!+#REF!+#REF!+#REF!+#REF!+#REF!+#REF!+#REF!+#REF!+#REF!+'18'!L62+#REF!+#REF!+#REF!+#REF!," ")</f>
        <v>#REF!</v>
      </c>
      <c r="M62" s="15" t="e">
        <f>IF('001'!M62+Рабочие!#REF!+#REF!+#REF!+SDLG!#REF!+#REF!+#REF!+#REF!+#REF!+#REF!+#REF!+#REF!+#REF!+#REF!+#REF!+#REF!+#REF!+#REF!+'18'!M62+#REF!+#REF!+#REF!+#REF!,'001'!M62+Рабочие!#REF!+#REF!+#REF!+SDLG!#REF!+#REF!+#REF!+#REF!+#REF!+#REF!+#REF!+#REF!+#REF!+#REF!+#REF!+#REF!+#REF!+#REF!+'18'!M62+#REF!+#REF!+#REF!+#REF!," ")</f>
        <v>#REF!</v>
      </c>
      <c r="N62" s="15" t="e">
        <f>IF('001'!N62+Рабочие!#REF!+#REF!+#REF!+SDLG!#REF!+#REF!+#REF!+#REF!+#REF!+#REF!+#REF!+#REF!+#REF!+#REF!+#REF!+#REF!+#REF!+#REF!+'18'!N62+#REF!+#REF!+#REF!+#REF!,'001'!N62+Рабочие!#REF!+#REF!+#REF!+SDLG!#REF!+#REF!+#REF!+#REF!+#REF!+#REF!+#REF!+#REF!+#REF!+#REF!+#REF!+#REF!+#REF!+#REF!+'18'!N62+#REF!+#REF!+#REF!+#REF!," ")</f>
        <v>#REF!</v>
      </c>
      <c r="O62" s="15" t="e">
        <f>IF('001'!O62+Рабочие!#REF!+#REF!+#REF!+SDLG!#REF!+#REF!+#REF!+#REF!+#REF!+#REF!+#REF!+#REF!+#REF!+#REF!+#REF!+#REF!+#REF!+#REF!+'18'!O62+#REF!+#REF!+#REF!+#REF!,'001'!O62+Рабочие!#REF!+#REF!+#REF!+SDLG!#REF!+#REF!+#REF!+#REF!+#REF!+#REF!+#REF!+#REF!+#REF!+#REF!+#REF!+#REF!+#REF!+#REF!+'18'!O62+#REF!+#REF!+#REF!+#REF!," ")</f>
        <v>#REF!</v>
      </c>
      <c r="P62" s="15" t="e">
        <f>IF('001'!P62+Рабочие!#REF!+#REF!+#REF!+SDLG!#REF!+#REF!+#REF!+#REF!+#REF!+#REF!+#REF!+#REF!+#REF!+#REF!+#REF!+#REF!+#REF!+#REF!+'18'!P62+#REF!+#REF!+#REF!+#REF!,'001'!P62+Рабочие!#REF!+#REF!+#REF!+SDLG!#REF!+#REF!+#REF!+#REF!+#REF!+#REF!+#REF!+#REF!+#REF!+#REF!+#REF!+#REF!+#REF!+#REF!+'18'!P62+#REF!+#REF!+#REF!+#REF!," ")</f>
        <v>#REF!</v>
      </c>
      <c r="Q62" s="15" t="e">
        <f>IF('001'!Q62+Рабочие!#REF!+#REF!+#REF!+SDLG!#REF!+#REF!+#REF!+#REF!+#REF!+#REF!+#REF!+#REF!+#REF!+#REF!+#REF!+#REF!+#REF!+#REF!+'18'!Q62+#REF!+#REF!+#REF!+#REF!,'001'!Q62+Рабочие!#REF!+#REF!+#REF!+SDLG!#REF!+#REF!+#REF!+#REF!+#REF!+#REF!+#REF!+#REF!+#REF!+#REF!+#REF!+#REF!+#REF!+#REF!+'18'!Q62+#REF!+#REF!+#REF!+#REF!," ")</f>
        <v>#REF!</v>
      </c>
      <c r="R62" s="15" t="e">
        <f>IF('001'!R62+Рабочие!#REF!+#REF!+#REF!+SDLG!#REF!+#REF!+#REF!+#REF!+#REF!+#REF!+#REF!+#REF!+#REF!+#REF!+#REF!+#REF!+#REF!+#REF!+'18'!R62+#REF!+#REF!+#REF!+#REF!,'001'!R62+Рабочие!#REF!+#REF!+#REF!+SDLG!#REF!+#REF!+#REF!+#REF!+#REF!+#REF!+#REF!+#REF!+#REF!+#REF!+#REF!+#REF!+#REF!+#REF!+'18'!R62+#REF!+#REF!+#REF!+#REF!," ")</f>
        <v>#REF!</v>
      </c>
      <c r="S62" s="15" t="e">
        <f>IF('001'!S62+Рабочие!#REF!+#REF!+#REF!+SDLG!#REF!+#REF!+#REF!+#REF!+#REF!+#REF!+#REF!+#REF!+#REF!+#REF!+#REF!+#REF!+#REF!+#REF!+'18'!S62+#REF!+#REF!+#REF!+#REF!,'001'!S62+Рабочие!#REF!+#REF!+#REF!+SDLG!#REF!+#REF!+#REF!+#REF!+#REF!+#REF!+#REF!+#REF!+#REF!+#REF!+#REF!+#REF!+#REF!+#REF!+'18'!S62+#REF!+#REF!+#REF!+#REF!," ")</f>
        <v>#REF!</v>
      </c>
      <c r="T62" s="69" t="e">
        <f>SUM(D62:S63)</f>
        <v>#REF!</v>
      </c>
      <c r="U62" s="57"/>
      <c r="V62" s="57"/>
      <c r="W62" s="57"/>
      <c r="X62" s="57"/>
      <c r="Y62" s="115" t="s">
        <v>75</v>
      </c>
      <c r="Z62" s="57"/>
      <c r="AA62" s="57"/>
      <c r="AB62" s="57"/>
      <c r="AC62" s="57"/>
      <c r="AD62" s="57"/>
      <c r="AE62" s="57"/>
      <c r="AF62" s="57"/>
      <c r="AG62" s="113" t="e">
        <f>AE102</f>
        <v>#REF!</v>
      </c>
    </row>
    <row r="63" spans="1:33" x14ac:dyDescent="0.25">
      <c r="A63" s="58"/>
      <c r="B63" s="72"/>
      <c r="C63" s="64"/>
      <c r="D63" s="15" t="e">
        <f>IF('001'!D63+Рабочие!#REF!+#REF!+#REF!+SDLG!#REF!+#REF!+#REF!+#REF!+#REF!+#REF!+#REF!+#REF!+#REF!+#REF!+#REF!+#REF!+#REF!+#REF!+'18'!D63+#REF!+#REF!+#REF!+#REF!,'001'!D63+Рабочие!#REF!+#REF!+#REF!+SDLG!#REF!+#REF!+#REF!+#REF!+#REF!+#REF!+#REF!+#REF!+#REF!+#REF!+#REF!+#REF!+#REF!+#REF!+'18'!D63+#REF!+#REF!+#REF!+#REF!," ")</f>
        <v>#REF!</v>
      </c>
      <c r="E63" s="15" t="e">
        <f>IF('001'!E63+Рабочие!#REF!+#REF!+#REF!+SDLG!#REF!+#REF!+#REF!+#REF!+#REF!+#REF!+#REF!+#REF!+#REF!+#REF!+#REF!+#REF!+#REF!+#REF!+'18'!E63+#REF!+#REF!+#REF!+#REF!,'001'!E63+Рабочие!#REF!+#REF!+#REF!+SDLG!#REF!+#REF!+#REF!+#REF!+#REF!+#REF!+#REF!+#REF!+#REF!+#REF!+#REF!+#REF!+#REF!+#REF!+'18'!E63+#REF!+#REF!+#REF!+#REF!," ")</f>
        <v>#REF!</v>
      </c>
      <c r="F63" s="15" t="e">
        <f>IF('001'!F63+Рабочие!#REF!+#REF!+#REF!+SDLG!#REF!+#REF!+#REF!+#REF!+#REF!+#REF!+#REF!+#REF!+#REF!+#REF!+#REF!+#REF!+#REF!+#REF!+'18'!F63+#REF!+#REF!+#REF!+#REF!,'001'!F63+Рабочие!#REF!+#REF!+#REF!+SDLG!#REF!+#REF!+#REF!+#REF!+#REF!+#REF!+#REF!+#REF!+#REF!+#REF!+#REF!+#REF!+#REF!+#REF!+'18'!F63+#REF!+#REF!+#REF!+#REF!," ")</f>
        <v>#REF!</v>
      </c>
      <c r="G63" s="15" t="e">
        <f>IF('001'!G63+Рабочие!#REF!+#REF!+#REF!+SDLG!#REF!+#REF!+#REF!+#REF!+#REF!+#REF!+#REF!+#REF!+#REF!+#REF!+#REF!+#REF!+#REF!+#REF!+'18'!G63+#REF!+#REF!+#REF!+#REF!,'001'!G63+Рабочие!#REF!+#REF!+#REF!+SDLG!#REF!+#REF!+#REF!+#REF!+#REF!+#REF!+#REF!+#REF!+#REF!+#REF!+#REF!+#REF!+#REF!+#REF!+'18'!G63+#REF!+#REF!+#REF!+#REF!," ")</f>
        <v>#REF!</v>
      </c>
      <c r="H63" s="15" t="e">
        <f>IF('001'!H63+Рабочие!#REF!+#REF!+#REF!+SDLG!#REF!+#REF!+#REF!+#REF!+#REF!+#REF!+#REF!+#REF!+#REF!+#REF!+#REF!+#REF!+#REF!+#REF!+'18'!H63+#REF!+#REF!+#REF!+#REF!,'001'!H63+Рабочие!#REF!+#REF!+#REF!+SDLG!#REF!+#REF!+#REF!+#REF!+#REF!+#REF!+#REF!+#REF!+#REF!+#REF!+#REF!+#REF!+#REF!+#REF!+'18'!H63+#REF!+#REF!+#REF!+#REF!," ")</f>
        <v>#REF!</v>
      </c>
      <c r="I63" s="15" t="e">
        <f>IF('001'!I63+Рабочие!#REF!+#REF!+#REF!+SDLG!#REF!+#REF!+#REF!+#REF!+#REF!+#REF!+#REF!+#REF!+#REF!+#REF!+#REF!+#REF!+#REF!+#REF!+'18'!I63+#REF!+#REF!+#REF!+#REF!,'001'!I63+Рабочие!#REF!+#REF!+#REF!+SDLG!#REF!+#REF!+#REF!+#REF!+#REF!+#REF!+#REF!+#REF!+#REF!+#REF!+#REF!+#REF!+#REF!+#REF!+'18'!I63+#REF!+#REF!+#REF!+#REF!," ")</f>
        <v>#REF!</v>
      </c>
      <c r="J63" s="15" t="e">
        <f>IF('001'!J63+Рабочие!#REF!+#REF!+#REF!+SDLG!#REF!+#REF!+#REF!+#REF!+#REF!+#REF!+#REF!+#REF!+#REF!+#REF!+#REF!+#REF!+#REF!+#REF!+'18'!J63+#REF!+#REF!+#REF!+#REF!,'001'!J63+Рабочие!#REF!+#REF!+#REF!+SDLG!#REF!+#REF!+#REF!+#REF!+#REF!+#REF!+#REF!+#REF!+#REF!+#REF!+#REF!+#REF!+#REF!+#REF!+'18'!J63+#REF!+#REF!+#REF!+#REF!," ")</f>
        <v>#REF!</v>
      </c>
      <c r="K63" s="15" t="e">
        <f>IF('001'!K63+Рабочие!#REF!+#REF!+#REF!+SDLG!#REF!+#REF!+#REF!+#REF!+#REF!+#REF!+#REF!+#REF!+#REF!+#REF!+#REF!+#REF!+#REF!+#REF!+'18'!K63+#REF!+#REF!+#REF!+#REF!,'001'!K63+Рабочие!#REF!+#REF!+#REF!+SDLG!#REF!+#REF!+#REF!+#REF!+#REF!+#REF!+#REF!+#REF!+#REF!+#REF!+#REF!+#REF!+#REF!+#REF!+'18'!K63+#REF!+#REF!+#REF!+#REF!," ")</f>
        <v>#REF!</v>
      </c>
      <c r="L63" s="15" t="e">
        <f>IF('001'!L63+Рабочие!#REF!+#REF!+#REF!+SDLG!#REF!+#REF!+#REF!+#REF!+#REF!+#REF!+#REF!+#REF!+#REF!+#REF!+#REF!+#REF!+#REF!+#REF!+'18'!L63+#REF!+#REF!+#REF!+#REF!,'001'!L63+Рабочие!#REF!+#REF!+#REF!+SDLG!#REF!+#REF!+#REF!+#REF!+#REF!+#REF!+#REF!+#REF!+#REF!+#REF!+#REF!+#REF!+#REF!+#REF!+'18'!L63+#REF!+#REF!+#REF!+#REF!," ")</f>
        <v>#REF!</v>
      </c>
      <c r="M63" s="15" t="e">
        <f>IF('001'!M63+Рабочие!#REF!+#REF!+#REF!+SDLG!#REF!+#REF!+#REF!+#REF!+#REF!+#REF!+#REF!+#REF!+#REF!+#REF!+#REF!+#REF!+#REF!+#REF!+'18'!M63+#REF!+#REF!+#REF!+#REF!,'001'!M63+Рабочие!#REF!+#REF!+#REF!+SDLG!#REF!+#REF!+#REF!+#REF!+#REF!+#REF!+#REF!+#REF!+#REF!+#REF!+#REF!+#REF!+#REF!+#REF!+'18'!M63+#REF!+#REF!+#REF!+#REF!," ")</f>
        <v>#REF!</v>
      </c>
      <c r="N63" s="15" t="e">
        <f>IF('001'!N63+Рабочие!#REF!+#REF!+#REF!+SDLG!#REF!+#REF!+#REF!+#REF!+#REF!+#REF!+#REF!+#REF!+#REF!+#REF!+#REF!+#REF!+#REF!+#REF!+'18'!N63+#REF!+#REF!+#REF!+#REF!,'001'!N63+Рабочие!#REF!+#REF!+#REF!+SDLG!#REF!+#REF!+#REF!+#REF!+#REF!+#REF!+#REF!+#REF!+#REF!+#REF!+#REF!+#REF!+#REF!+#REF!+'18'!N63+#REF!+#REF!+#REF!+#REF!," ")</f>
        <v>#REF!</v>
      </c>
      <c r="O63" s="15" t="e">
        <f>IF('001'!O63+Рабочие!#REF!+#REF!+#REF!+SDLG!#REF!+#REF!+#REF!+#REF!+#REF!+#REF!+#REF!+#REF!+#REF!+#REF!+#REF!+#REF!+#REF!+#REF!+'18'!O63+#REF!+#REF!+#REF!+#REF!,'001'!O63+Рабочие!#REF!+#REF!+#REF!+SDLG!#REF!+#REF!+#REF!+#REF!+#REF!+#REF!+#REF!+#REF!+#REF!+#REF!+#REF!+#REF!+#REF!+#REF!+'18'!O63+#REF!+#REF!+#REF!+#REF!," ")</f>
        <v>#REF!</v>
      </c>
      <c r="P63" s="15" t="e">
        <f>IF('001'!P63+Рабочие!#REF!+#REF!+#REF!+SDLG!#REF!+#REF!+#REF!+#REF!+#REF!+#REF!+#REF!+#REF!+#REF!+#REF!+#REF!+#REF!+#REF!+#REF!+'18'!P63+#REF!+#REF!+#REF!+#REF!,'001'!P63+Рабочие!#REF!+#REF!+#REF!+SDLG!#REF!+#REF!+#REF!+#REF!+#REF!+#REF!+#REF!+#REF!+#REF!+#REF!+#REF!+#REF!+#REF!+#REF!+'18'!P63+#REF!+#REF!+#REF!+#REF!," ")</f>
        <v>#REF!</v>
      </c>
      <c r="Q63" s="15" t="e">
        <f>IF('001'!Q63+Рабочие!#REF!+#REF!+#REF!+SDLG!#REF!+#REF!+#REF!+#REF!+#REF!+#REF!+#REF!+#REF!+#REF!+#REF!+#REF!+#REF!+#REF!+#REF!+'18'!Q63+#REF!+#REF!+#REF!+#REF!,'001'!Q63+Рабочие!#REF!+#REF!+#REF!+SDLG!#REF!+#REF!+#REF!+#REF!+#REF!+#REF!+#REF!+#REF!+#REF!+#REF!+#REF!+#REF!+#REF!+#REF!+'18'!Q63+#REF!+#REF!+#REF!+#REF!," ")</f>
        <v>#REF!</v>
      </c>
      <c r="R63" s="15" t="e">
        <f>IF('001'!R63+Рабочие!#REF!+#REF!+#REF!+SDLG!#REF!+#REF!+#REF!+#REF!+#REF!+#REF!+#REF!+#REF!+#REF!+#REF!+#REF!+#REF!+#REF!+#REF!+'18'!R63+#REF!+#REF!+#REF!+#REF!,'001'!R63+Рабочие!#REF!+#REF!+#REF!+SDLG!#REF!+#REF!+#REF!+#REF!+#REF!+#REF!+#REF!+#REF!+#REF!+#REF!+#REF!+#REF!+#REF!+#REF!+'18'!R63+#REF!+#REF!+#REF!+#REF!," ")</f>
        <v>#REF!</v>
      </c>
      <c r="S63" s="15" t="e">
        <f>IF('001'!S63+Рабочие!#REF!+#REF!+#REF!+SDLG!#REF!+#REF!+#REF!+#REF!+#REF!+#REF!+#REF!+#REF!+#REF!+#REF!+#REF!+#REF!+#REF!+#REF!+'18'!S63+#REF!+#REF!+#REF!+#REF!,'001'!S63+Рабочие!#REF!+#REF!+#REF!+SDLG!#REF!+#REF!+#REF!+#REF!+#REF!+#REF!+#REF!+#REF!+#REF!+#REF!+#REF!+#REF!+#REF!+#REF!+'18'!S63+#REF!+#REF!+#REF!+#REF!," ")</f>
        <v>#REF!</v>
      </c>
      <c r="T63" s="70"/>
      <c r="U63" s="58"/>
      <c r="V63" s="58"/>
      <c r="W63" s="58"/>
      <c r="X63" s="58"/>
      <c r="Y63" s="116"/>
      <c r="Z63" s="58"/>
      <c r="AA63" s="58"/>
      <c r="AB63" s="58"/>
      <c r="AC63" s="58"/>
      <c r="AD63" s="58"/>
      <c r="AE63" s="58"/>
      <c r="AF63" s="58"/>
      <c r="AG63" s="114"/>
    </row>
    <row r="64" spans="1:33" x14ac:dyDescent="0.25">
      <c r="A64" s="57">
        <v>10</v>
      </c>
      <c r="B64" s="71" t="s">
        <v>54</v>
      </c>
      <c r="C64" s="63">
        <v>3</v>
      </c>
      <c r="D64" s="15" t="e">
        <f>IF('001'!D64+Рабочие!#REF!+#REF!+#REF!+SDLG!#REF!+#REF!+#REF!+#REF!+#REF!+#REF!+#REF!+#REF!+#REF!+#REF!+#REF!+#REF!+#REF!+#REF!+'18'!D64+#REF!+#REF!+#REF!+#REF!,'001'!D64+Рабочие!#REF!+#REF!+#REF!+SDLG!#REF!+#REF!+#REF!+#REF!+#REF!+#REF!+#REF!+#REF!+#REF!+#REF!+#REF!+#REF!+#REF!+#REF!+'18'!D64+#REF!+#REF!+#REF!+#REF!," ")</f>
        <v>#REF!</v>
      </c>
      <c r="E64" s="15" t="e">
        <f>IF('001'!E64+Рабочие!#REF!+#REF!+#REF!+SDLG!#REF!+#REF!+#REF!+#REF!+#REF!+#REF!+#REF!+#REF!+#REF!+#REF!+#REF!+#REF!+#REF!+#REF!+'18'!E64+#REF!+#REF!+#REF!+#REF!,'001'!E64+Рабочие!#REF!+#REF!+#REF!+SDLG!#REF!+#REF!+#REF!+#REF!+#REF!+#REF!+#REF!+#REF!+#REF!+#REF!+#REF!+#REF!+#REF!+#REF!+'18'!E64+#REF!+#REF!+#REF!+#REF!," ")</f>
        <v>#REF!</v>
      </c>
      <c r="F64" s="15" t="e">
        <f>IF('001'!F64+Рабочие!#REF!+#REF!+#REF!+SDLG!#REF!+#REF!+#REF!+#REF!+#REF!+#REF!+#REF!+#REF!+#REF!+#REF!+#REF!+#REF!+#REF!+#REF!+'18'!F64+#REF!+#REF!+#REF!+#REF!,'001'!F64+Рабочие!#REF!+#REF!+#REF!+SDLG!#REF!+#REF!+#REF!+#REF!+#REF!+#REF!+#REF!+#REF!+#REF!+#REF!+#REF!+#REF!+#REF!+#REF!+'18'!F64+#REF!+#REF!+#REF!+#REF!," ")</f>
        <v>#REF!</v>
      </c>
      <c r="G64" s="15" t="e">
        <f>IF('001'!G64+Рабочие!#REF!+#REF!+#REF!+SDLG!#REF!+#REF!+#REF!+#REF!+#REF!+#REF!+#REF!+#REF!+#REF!+#REF!+#REF!+#REF!+#REF!+#REF!+'18'!G64+#REF!+#REF!+#REF!+#REF!,'001'!G64+Рабочие!#REF!+#REF!+#REF!+SDLG!#REF!+#REF!+#REF!+#REF!+#REF!+#REF!+#REF!+#REF!+#REF!+#REF!+#REF!+#REF!+#REF!+#REF!+'18'!G64+#REF!+#REF!+#REF!+#REF!," ")</f>
        <v>#REF!</v>
      </c>
      <c r="H64" s="15" t="e">
        <f>IF('001'!H64+Рабочие!#REF!+#REF!+#REF!+SDLG!#REF!+#REF!+#REF!+#REF!+#REF!+#REF!+#REF!+#REF!+#REF!+#REF!+#REF!+#REF!+#REF!+#REF!+'18'!H64+#REF!+#REF!+#REF!+#REF!,'001'!H64+Рабочие!#REF!+#REF!+#REF!+SDLG!#REF!+#REF!+#REF!+#REF!+#REF!+#REF!+#REF!+#REF!+#REF!+#REF!+#REF!+#REF!+#REF!+#REF!+'18'!H64+#REF!+#REF!+#REF!+#REF!," ")</f>
        <v>#REF!</v>
      </c>
      <c r="I64" s="15" t="e">
        <f>IF('001'!I64+Рабочие!#REF!+#REF!+#REF!+SDLG!#REF!+#REF!+#REF!+#REF!+#REF!+#REF!+#REF!+#REF!+#REF!+#REF!+#REF!+#REF!+#REF!+#REF!+'18'!I64+#REF!+#REF!+#REF!+#REF!,'001'!I64+Рабочие!#REF!+#REF!+#REF!+SDLG!#REF!+#REF!+#REF!+#REF!+#REF!+#REF!+#REF!+#REF!+#REF!+#REF!+#REF!+#REF!+#REF!+#REF!+'18'!I64+#REF!+#REF!+#REF!+#REF!," ")</f>
        <v>#REF!</v>
      </c>
      <c r="J64" s="15" t="e">
        <f>IF('001'!J64+Рабочие!#REF!+#REF!+#REF!+SDLG!#REF!+#REF!+#REF!+#REF!+#REF!+#REF!+#REF!+#REF!+#REF!+#REF!+#REF!+#REF!+#REF!+#REF!+'18'!J64+#REF!+#REF!+#REF!+#REF!,'001'!J64+Рабочие!#REF!+#REF!+#REF!+SDLG!#REF!+#REF!+#REF!+#REF!+#REF!+#REF!+#REF!+#REF!+#REF!+#REF!+#REF!+#REF!+#REF!+#REF!+'18'!J64+#REF!+#REF!+#REF!+#REF!," ")</f>
        <v>#REF!</v>
      </c>
      <c r="K64" s="15" t="e">
        <f>IF('001'!K64+Рабочие!#REF!+#REF!+#REF!+SDLG!#REF!+#REF!+#REF!+#REF!+#REF!+#REF!+#REF!+#REF!+#REF!+#REF!+#REF!+#REF!+#REF!+#REF!+'18'!K64+#REF!+#REF!+#REF!+#REF!,'001'!K64+Рабочие!#REF!+#REF!+#REF!+SDLG!#REF!+#REF!+#REF!+#REF!+#REF!+#REF!+#REF!+#REF!+#REF!+#REF!+#REF!+#REF!+#REF!+#REF!+'18'!K64+#REF!+#REF!+#REF!+#REF!," ")</f>
        <v>#REF!</v>
      </c>
      <c r="L64" s="15" t="e">
        <f>IF('001'!L64+Рабочие!#REF!+#REF!+#REF!+SDLG!#REF!+#REF!+#REF!+#REF!+#REF!+#REF!+#REF!+#REF!+#REF!+#REF!+#REF!+#REF!+#REF!+#REF!+'18'!L64+#REF!+#REF!+#REF!+#REF!,'001'!L64+Рабочие!#REF!+#REF!+#REF!+SDLG!#REF!+#REF!+#REF!+#REF!+#REF!+#REF!+#REF!+#REF!+#REF!+#REF!+#REF!+#REF!+#REF!+#REF!+'18'!L64+#REF!+#REF!+#REF!+#REF!," ")</f>
        <v>#REF!</v>
      </c>
      <c r="M64" s="15" t="e">
        <f>IF('001'!M64+Рабочие!#REF!+#REF!+#REF!+SDLG!#REF!+#REF!+#REF!+#REF!+#REF!+#REF!+#REF!+#REF!+#REF!+#REF!+#REF!+#REF!+#REF!+#REF!+'18'!M64+#REF!+#REF!+#REF!+#REF!,'001'!M64+Рабочие!#REF!+#REF!+#REF!+SDLG!#REF!+#REF!+#REF!+#REF!+#REF!+#REF!+#REF!+#REF!+#REF!+#REF!+#REF!+#REF!+#REF!+#REF!+'18'!M64+#REF!+#REF!+#REF!+#REF!," ")</f>
        <v>#REF!</v>
      </c>
      <c r="N64" s="15" t="e">
        <f>IF('001'!N64+Рабочие!#REF!+#REF!+#REF!+SDLG!#REF!+#REF!+#REF!+#REF!+#REF!+#REF!+#REF!+#REF!+#REF!+#REF!+#REF!+#REF!+#REF!+#REF!+'18'!N64+#REF!+#REF!+#REF!+#REF!,'001'!N64+Рабочие!#REF!+#REF!+#REF!+SDLG!#REF!+#REF!+#REF!+#REF!+#REF!+#REF!+#REF!+#REF!+#REF!+#REF!+#REF!+#REF!+#REF!+#REF!+'18'!N64+#REF!+#REF!+#REF!+#REF!," ")</f>
        <v>#REF!</v>
      </c>
      <c r="O64" s="15" t="e">
        <f>IF('001'!O64+Рабочие!#REF!+#REF!+#REF!+SDLG!#REF!+#REF!+#REF!+#REF!+#REF!+#REF!+#REF!+#REF!+#REF!+#REF!+#REF!+#REF!+#REF!+#REF!+'18'!O64+#REF!+#REF!+#REF!+#REF!,'001'!O64+Рабочие!#REF!+#REF!+#REF!+SDLG!#REF!+#REF!+#REF!+#REF!+#REF!+#REF!+#REF!+#REF!+#REF!+#REF!+#REF!+#REF!+#REF!+#REF!+'18'!O64+#REF!+#REF!+#REF!+#REF!," ")</f>
        <v>#REF!</v>
      </c>
      <c r="P64" s="15" t="e">
        <f>IF('001'!P64+Рабочие!#REF!+#REF!+#REF!+SDLG!#REF!+#REF!+#REF!+#REF!+#REF!+#REF!+#REF!+#REF!+#REF!+#REF!+#REF!+#REF!+#REF!+#REF!+'18'!P64+#REF!+#REF!+#REF!+#REF!,'001'!P64+Рабочие!#REF!+#REF!+#REF!+SDLG!#REF!+#REF!+#REF!+#REF!+#REF!+#REF!+#REF!+#REF!+#REF!+#REF!+#REF!+#REF!+#REF!+#REF!+'18'!P64+#REF!+#REF!+#REF!+#REF!," ")</f>
        <v>#REF!</v>
      </c>
      <c r="Q64" s="15" t="e">
        <f>IF('001'!Q64+Рабочие!#REF!+#REF!+#REF!+SDLG!#REF!+#REF!+#REF!+#REF!+#REF!+#REF!+#REF!+#REF!+#REF!+#REF!+#REF!+#REF!+#REF!+#REF!+'18'!Q64+#REF!+#REF!+#REF!+#REF!,'001'!Q64+Рабочие!#REF!+#REF!+#REF!+SDLG!#REF!+#REF!+#REF!+#REF!+#REF!+#REF!+#REF!+#REF!+#REF!+#REF!+#REF!+#REF!+#REF!+#REF!+'18'!Q64+#REF!+#REF!+#REF!+#REF!," ")</f>
        <v>#REF!</v>
      </c>
      <c r="R64" s="15" t="e">
        <f>IF('001'!R64+Рабочие!#REF!+#REF!+#REF!+SDLG!#REF!+#REF!+#REF!+#REF!+#REF!+#REF!+#REF!+#REF!+#REF!+#REF!+#REF!+#REF!+#REF!+#REF!+'18'!R64+#REF!+#REF!+#REF!+#REF!,'001'!R64+Рабочие!#REF!+#REF!+#REF!+SDLG!#REF!+#REF!+#REF!+#REF!+#REF!+#REF!+#REF!+#REF!+#REF!+#REF!+#REF!+#REF!+#REF!+#REF!+'18'!R64+#REF!+#REF!+#REF!+#REF!," ")</f>
        <v>#REF!</v>
      </c>
      <c r="S64" s="15" t="e">
        <f>IF('001'!S64+Рабочие!#REF!+#REF!+#REF!+SDLG!#REF!+#REF!+#REF!+#REF!+#REF!+#REF!+#REF!+#REF!+#REF!+#REF!+#REF!+#REF!+#REF!+#REF!+'18'!S64+#REF!+#REF!+#REF!+#REF!,'001'!S64+Рабочие!#REF!+#REF!+#REF!+SDLG!#REF!+#REF!+#REF!+#REF!+#REF!+#REF!+#REF!+#REF!+#REF!+#REF!+#REF!+#REF!+#REF!+#REF!+'18'!S64+#REF!+#REF!+#REF!+#REF!," ")</f>
        <v>#REF!</v>
      </c>
      <c r="T64" s="69" t="e">
        <f>SUM(D64:S65)</f>
        <v>#REF!</v>
      </c>
      <c r="U64" s="57"/>
      <c r="V64" s="57"/>
      <c r="W64" s="57"/>
      <c r="X64" s="57"/>
      <c r="Y64" s="115" t="s">
        <v>75</v>
      </c>
      <c r="Z64" s="57"/>
      <c r="AA64" s="57"/>
      <c r="AB64" s="57"/>
      <c r="AC64" s="57"/>
      <c r="AD64" s="57"/>
      <c r="AE64" s="57"/>
      <c r="AF64" s="57"/>
      <c r="AG64" s="113" t="e">
        <f>AE103</f>
        <v>#REF!</v>
      </c>
    </row>
    <row r="65" spans="1:33" x14ac:dyDescent="0.25">
      <c r="A65" s="58"/>
      <c r="B65" s="72"/>
      <c r="C65" s="64"/>
      <c r="D65" s="15" t="e">
        <f>IF('001'!D65+Рабочие!#REF!+#REF!+#REF!+SDLG!#REF!+#REF!+#REF!+#REF!+#REF!+#REF!+#REF!+#REF!+#REF!+#REF!+#REF!+#REF!+#REF!+#REF!+'18'!D65+#REF!+#REF!+#REF!+#REF!,'001'!D65+Рабочие!#REF!+#REF!+#REF!+SDLG!#REF!+#REF!+#REF!+#REF!+#REF!+#REF!+#REF!+#REF!+#REF!+#REF!+#REF!+#REF!+#REF!+#REF!+'18'!D65+#REF!+#REF!+#REF!+#REF!," ")</f>
        <v>#REF!</v>
      </c>
      <c r="E65" s="15" t="e">
        <f>IF('001'!E65+Рабочие!#REF!+#REF!+#REF!+SDLG!#REF!+#REF!+#REF!+#REF!+#REF!+#REF!+#REF!+#REF!+#REF!+#REF!+#REF!+#REF!+#REF!+#REF!+'18'!E65+#REF!+#REF!+#REF!+#REF!,'001'!E65+Рабочие!#REF!+#REF!+#REF!+SDLG!#REF!+#REF!+#REF!+#REF!+#REF!+#REF!+#REF!+#REF!+#REF!+#REF!+#REF!+#REF!+#REF!+#REF!+'18'!E65+#REF!+#REF!+#REF!+#REF!," ")</f>
        <v>#REF!</v>
      </c>
      <c r="F65" s="15" t="e">
        <f>IF('001'!F65+Рабочие!#REF!+#REF!+#REF!+SDLG!#REF!+#REF!+#REF!+#REF!+#REF!+#REF!+#REF!+#REF!+#REF!+#REF!+#REF!+#REF!+#REF!+#REF!+'18'!F65+#REF!+#REF!+#REF!+#REF!,'001'!F65+Рабочие!#REF!+#REF!+#REF!+SDLG!#REF!+#REF!+#REF!+#REF!+#REF!+#REF!+#REF!+#REF!+#REF!+#REF!+#REF!+#REF!+#REF!+#REF!+'18'!F65+#REF!+#REF!+#REF!+#REF!," ")</f>
        <v>#REF!</v>
      </c>
      <c r="G65" s="15" t="e">
        <f>IF('001'!G65+Рабочие!#REF!+#REF!+#REF!+SDLG!#REF!+#REF!+#REF!+#REF!+#REF!+#REF!+#REF!+#REF!+#REF!+#REF!+#REF!+#REF!+#REF!+#REF!+'18'!G65+#REF!+#REF!+#REF!+#REF!,'001'!G65+Рабочие!#REF!+#REF!+#REF!+SDLG!#REF!+#REF!+#REF!+#REF!+#REF!+#REF!+#REF!+#REF!+#REF!+#REF!+#REF!+#REF!+#REF!+#REF!+'18'!G65+#REF!+#REF!+#REF!+#REF!," ")</f>
        <v>#REF!</v>
      </c>
      <c r="H65" s="15" t="e">
        <f>IF('001'!H65+Рабочие!#REF!+#REF!+#REF!+SDLG!#REF!+#REF!+#REF!+#REF!+#REF!+#REF!+#REF!+#REF!+#REF!+#REF!+#REF!+#REF!+#REF!+#REF!+'18'!H65+#REF!+#REF!+#REF!+#REF!,'001'!H65+Рабочие!#REF!+#REF!+#REF!+SDLG!#REF!+#REF!+#REF!+#REF!+#REF!+#REF!+#REF!+#REF!+#REF!+#REF!+#REF!+#REF!+#REF!+#REF!+'18'!H65+#REF!+#REF!+#REF!+#REF!," ")</f>
        <v>#REF!</v>
      </c>
      <c r="I65" s="15" t="e">
        <f>IF('001'!I65+Рабочие!#REF!+#REF!+#REF!+SDLG!#REF!+#REF!+#REF!+#REF!+#REF!+#REF!+#REF!+#REF!+#REF!+#REF!+#REF!+#REF!+#REF!+#REF!+'18'!I65+#REF!+#REF!+#REF!+#REF!,'001'!I65+Рабочие!#REF!+#REF!+#REF!+SDLG!#REF!+#REF!+#REF!+#REF!+#REF!+#REF!+#REF!+#REF!+#REF!+#REF!+#REF!+#REF!+#REF!+#REF!+'18'!I65+#REF!+#REF!+#REF!+#REF!," ")</f>
        <v>#REF!</v>
      </c>
      <c r="J65" s="15" t="e">
        <f>IF('001'!J65+Рабочие!#REF!+#REF!+#REF!+SDLG!#REF!+#REF!+#REF!+#REF!+#REF!+#REF!+#REF!+#REF!+#REF!+#REF!+#REF!+#REF!+#REF!+#REF!+'18'!J65+#REF!+#REF!+#REF!+#REF!,'001'!J65+Рабочие!#REF!+#REF!+#REF!+SDLG!#REF!+#REF!+#REF!+#REF!+#REF!+#REF!+#REF!+#REF!+#REF!+#REF!+#REF!+#REF!+#REF!+#REF!+'18'!J65+#REF!+#REF!+#REF!+#REF!," ")</f>
        <v>#REF!</v>
      </c>
      <c r="K65" s="15" t="e">
        <f>IF('001'!K65+Рабочие!#REF!+#REF!+#REF!+SDLG!#REF!+#REF!+#REF!+#REF!+#REF!+#REF!+#REF!+#REF!+#REF!+#REF!+#REF!+#REF!+#REF!+#REF!+'18'!K65+#REF!+#REF!+#REF!+#REF!,'001'!K65+Рабочие!#REF!+#REF!+#REF!+SDLG!#REF!+#REF!+#REF!+#REF!+#REF!+#REF!+#REF!+#REF!+#REF!+#REF!+#REF!+#REF!+#REF!+#REF!+'18'!K65+#REF!+#REF!+#REF!+#REF!," ")</f>
        <v>#REF!</v>
      </c>
      <c r="L65" s="15" t="e">
        <f>IF('001'!L65+Рабочие!#REF!+#REF!+#REF!+SDLG!#REF!+#REF!+#REF!+#REF!+#REF!+#REF!+#REF!+#REF!+#REF!+#REF!+#REF!+#REF!+#REF!+#REF!+'18'!L65+#REF!+#REF!+#REF!+#REF!,'001'!L65+Рабочие!#REF!+#REF!+#REF!+SDLG!#REF!+#REF!+#REF!+#REF!+#REF!+#REF!+#REF!+#REF!+#REF!+#REF!+#REF!+#REF!+#REF!+#REF!+'18'!L65+#REF!+#REF!+#REF!+#REF!," ")</f>
        <v>#REF!</v>
      </c>
      <c r="M65" s="15" t="e">
        <f>IF('001'!M65+Рабочие!#REF!+#REF!+#REF!+SDLG!#REF!+#REF!+#REF!+#REF!+#REF!+#REF!+#REF!+#REF!+#REF!+#REF!+#REF!+#REF!+#REF!+#REF!+'18'!M65+#REF!+#REF!+#REF!+#REF!,'001'!M65+Рабочие!#REF!+#REF!+#REF!+SDLG!#REF!+#REF!+#REF!+#REF!+#REF!+#REF!+#REF!+#REF!+#REF!+#REF!+#REF!+#REF!+#REF!+#REF!+'18'!M65+#REF!+#REF!+#REF!+#REF!," ")</f>
        <v>#REF!</v>
      </c>
      <c r="N65" s="15" t="e">
        <f>IF('001'!N65+Рабочие!#REF!+#REF!+#REF!+SDLG!#REF!+#REF!+#REF!+#REF!+#REF!+#REF!+#REF!+#REF!+#REF!+#REF!+#REF!+#REF!+#REF!+#REF!+'18'!N65+#REF!+#REF!+#REF!+#REF!,'001'!N65+Рабочие!#REF!+#REF!+#REF!+SDLG!#REF!+#REF!+#REF!+#REF!+#REF!+#REF!+#REF!+#REF!+#REF!+#REF!+#REF!+#REF!+#REF!+#REF!+'18'!N65+#REF!+#REF!+#REF!+#REF!," ")</f>
        <v>#REF!</v>
      </c>
      <c r="O65" s="15" t="e">
        <f>IF('001'!O65+Рабочие!#REF!+#REF!+#REF!+SDLG!#REF!+#REF!+#REF!+#REF!+#REF!+#REF!+#REF!+#REF!+#REF!+#REF!+#REF!+#REF!+#REF!+#REF!+'18'!O65+#REF!+#REF!+#REF!+#REF!,'001'!O65+Рабочие!#REF!+#REF!+#REF!+SDLG!#REF!+#REF!+#REF!+#REF!+#REF!+#REF!+#REF!+#REF!+#REF!+#REF!+#REF!+#REF!+#REF!+#REF!+'18'!O65+#REF!+#REF!+#REF!+#REF!," ")</f>
        <v>#REF!</v>
      </c>
      <c r="P65" s="15" t="e">
        <f>IF('001'!P65+Рабочие!#REF!+#REF!+#REF!+SDLG!#REF!+#REF!+#REF!+#REF!+#REF!+#REF!+#REF!+#REF!+#REF!+#REF!+#REF!+#REF!+#REF!+#REF!+'18'!P65+#REF!+#REF!+#REF!+#REF!,'001'!P65+Рабочие!#REF!+#REF!+#REF!+SDLG!#REF!+#REF!+#REF!+#REF!+#REF!+#REF!+#REF!+#REF!+#REF!+#REF!+#REF!+#REF!+#REF!+#REF!+'18'!P65+#REF!+#REF!+#REF!+#REF!," ")</f>
        <v>#REF!</v>
      </c>
      <c r="Q65" s="15" t="e">
        <f>IF('001'!Q65+Рабочие!#REF!+#REF!+#REF!+SDLG!#REF!+#REF!+#REF!+#REF!+#REF!+#REF!+#REF!+#REF!+#REF!+#REF!+#REF!+#REF!+#REF!+#REF!+'18'!Q65+#REF!+#REF!+#REF!+#REF!,'001'!Q65+Рабочие!#REF!+#REF!+#REF!+SDLG!#REF!+#REF!+#REF!+#REF!+#REF!+#REF!+#REF!+#REF!+#REF!+#REF!+#REF!+#REF!+#REF!+#REF!+'18'!Q65+#REF!+#REF!+#REF!+#REF!," ")</f>
        <v>#REF!</v>
      </c>
      <c r="R65" s="15" t="e">
        <f>IF('001'!R65+Рабочие!#REF!+#REF!+#REF!+SDLG!#REF!+#REF!+#REF!+#REF!+#REF!+#REF!+#REF!+#REF!+#REF!+#REF!+#REF!+#REF!+#REF!+#REF!+'18'!R65+#REF!+#REF!+#REF!+#REF!,'001'!R65+Рабочие!#REF!+#REF!+#REF!+SDLG!#REF!+#REF!+#REF!+#REF!+#REF!+#REF!+#REF!+#REF!+#REF!+#REF!+#REF!+#REF!+#REF!+#REF!+'18'!R65+#REF!+#REF!+#REF!+#REF!," ")</f>
        <v>#REF!</v>
      </c>
      <c r="S65" s="15" t="e">
        <f>IF('001'!S65+Рабочие!#REF!+#REF!+#REF!+SDLG!#REF!+#REF!+#REF!+#REF!+#REF!+#REF!+#REF!+#REF!+#REF!+#REF!+#REF!+#REF!+#REF!+#REF!+'18'!S65+#REF!+#REF!+#REF!+#REF!,'001'!S65+Рабочие!#REF!+#REF!+#REF!+SDLG!#REF!+#REF!+#REF!+#REF!+#REF!+#REF!+#REF!+#REF!+#REF!+#REF!+#REF!+#REF!+#REF!+#REF!+'18'!S65+#REF!+#REF!+#REF!+#REF!," ")</f>
        <v>#REF!</v>
      </c>
      <c r="T65" s="70"/>
      <c r="U65" s="58"/>
      <c r="V65" s="58"/>
      <c r="W65" s="58"/>
      <c r="X65" s="58"/>
      <c r="Y65" s="116"/>
      <c r="Z65" s="58"/>
      <c r="AA65" s="58"/>
      <c r="AB65" s="58"/>
      <c r="AC65" s="58"/>
      <c r="AD65" s="58"/>
      <c r="AE65" s="58"/>
      <c r="AF65" s="58"/>
      <c r="AG65" s="114"/>
    </row>
    <row r="66" spans="1:33" x14ac:dyDescent="0.25">
      <c r="A66" s="57">
        <v>11</v>
      </c>
      <c r="B66" s="71" t="s">
        <v>55</v>
      </c>
      <c r="C66" s="63">
        <v>3</v>
      </c>
      <c r="D66" s="15" t="e">
        <f>IF('001'!D66+Рабочие!#REF!+#REF!+#REF!+SDLG!#REF!+#REF!+#REF!+#REF!+#REF!+#REF!+#REF!+#REF!+#REF!+#REF!+#REF!+#REF!+#REF!+#REF!+'18'!D66+#REF!+#REF!+#REF!+#REF!,'001'!D66+Рабочие!#REF!+#REF!+#REF!+SDLG!#REF!+#REF!+#REF!+#REF!+#REF!+#REF!+#REF!+#REF!+#REF!+#REF!+#REF!+#REF!+#REF!+#REF!+'18'!D66+#REF!+#REF!+#REF!+#REF!," ")</f>
        <v>#REF!</v>
      </c>
      <c r="E66" s="15" t="e">
        <f>IF('001'!E66+Рабочие!#REF!+#REF!+#REF!+SDLG!#REF!+#REF!+#REF!+#REF!+#REF!+#REF!+#REF!+#REF!+#REF!+#REF!+#REF!+#REF!+#REF!+#REF!+'18'!E66+#REF!+#REF!+#REF!+#REF!,'001'!E66+Рабочие!#REF!+#REF!+#REF!+SDLG!#REF!+#REF!+#REF!+#REF!+#REF!+#REF!+#REF!+#REF!+#REF!+#REF!+#REF!+#REF!+#REF!+#REF!+'18'!E66+#REF!+#REF!+#REF!+#REF!," ")</f>
        <v>#REF!</v>
      </c>
      <c r="F66" s="15" t="e">
        <f>IF('001'!F66+Рабочие!#REF!+#REF!+#REF!+SDLG!#REF!+#REF!+#REF!+#REF!+#REF!+#REF!+#REF!+#REF!+#REF!+#REF!+#REF!+#REF!+#REF!+#REF!+'18'!F66+#REF!+#REF!+#REF!+#REF!,'001'!F66+Рабочие!#REF!+#REF!+#REF!+SDLG!#REF!+#REF!+#REF!+#REF!+#REF!+#REF!+#REF!+#REF!+#REF!+#REF!+#REF!+#REF!+#REF!+#REF!+'18'!F66+#REF!+#REF!+#REF!+#REF!," ")</f>
        <v>#REF!</v>
      </c>
      <c r="G66" s="15" t="e">
        <f>IF('001'!G66+Рабочие!#REF!+#REF!+#REF!+SDLG!#REF!+#REF!+#REF!+#REF!+#REF!+#REF!+#REF!+#REF!+#REF!+#REF!+#REF!+#REF!+#REF!+#REF!+'18'!G66+#REF!+#REF!+#REF!+#REF!,'001'!G66+Рабочие!#REF!+#REF!+#REF!+SDLG!#REF!+#REF!+#REF!+#REF!+#REF!+#REF!+#REF!+#REF!+#REF!+#REF!+#REF!+#REF!+#REF!+#REF!+'18'!G66+#REF!+#REF!+#REF!+#REF!," ")</f>
        <v>#REF!</v>
      </c>
      <c r="H66" s="15" t="e">
        <f>IF('001'!H66+Рабочие!#REF!+#REF!+#REF!+SDLG!#REF!+#REF!+#REF!+#REF!+#REF!+#REF!+#REF!+#REF!+#REF!+#REF!+#REF!+#REF!+#REF!+#REF!+'18'!H66+#REF!+#REF!+#REF!+#REF!,'001'!H66+Рабочие!#REF!+#REF!+#REF!+SDLG!#REF!+#REF!+#REF!+#REF!+#REF!+#REF!+#REF!+#REF!+#REF!+#REF!+#REF!+#REF!+#REF!+#REF!+'18'!H66+#REF!+#REF!+#REF!+#REF!," ")</f>
        <v>#REF!</v>
      </c>
      <c r="I66" s="15" t="e">
        <f>IF('001'!I66+Рабочие!#REF!+#REF!+#REF!+SDLG!#REF!+#REF!+#REF!+#REF!+#REF!+#REF!+#REF!+#REF!+#REF!+#REF!+#REF!+#REF!+#REF!+#REF!+'18'!I66+#REF!+#REF!+#REF!+#REF!,'001'!I66+Рабочие!#REF!+#REF!+#REF!+SDLG!#REF!+#REF!+#REF!+#REF!+#REF!+#REF!+#REF!+#REF!+#REF!+#REF!+#REF!+#REF!+#REF!+#REF!+'18'!I66+#REF!+#REF!+#REF!+#REF!," ")</f>
        <v>#REF!</v>
      </c>
      <c r="J66" s="15" t="e">
        <f>IF('001'!J66+Рабочие!#REF!+#REF!+#REF!+SDLG!#REF!+#REF!+#REF!+#REF!+#REF!+#REF!+#REF!+#REF!+#REF!+#REF!+#REF!+#REF!+#REF!+#REF!+'18'!J66+#REF!+#REF!+#REF!+#REF!,'001'!J66+Рабочие!#REF!+#REF!+#REF!+SDLG!#REF!+#REF!+#REF!+#REF!+#REF!+#REF!+#REF!+#REF!+#REF!+#REF!+#REF!+#REF!+#REF!+#REF!+'18'!J66+#REF!+#REF!+#REF!+#REF!," ")</f>
        <v>#REF!</v>
      </c>
      <c r="K66" s="15" t="e">
        <f>IF('001'!K66+Рабочие!#REF!+#REF!+#REF!+SDLG!#REF!+#REF!+#REF!+#REF!+#REF!+#REF!+#REF!+#REF!+#REF!+#REF!+#REF!+#REF!+#REF!+#REF!+'18'!K66+#REF!+#REF!+#REF!+#REF!,'001'!K66+Рабочие!#REF!+#REF!+#REF!+SDLG!#REF!+#REF!+#REF!+#REF!+#REF!+#REF!+#REF!+#REF!+#REF!+#REF!+#REF!+#REF!+#REF!+#REF!+'18'!K66+#REF!+#REF!+#REF!+#REF!," ")</f>
        <v>#REF!</v>
      </c>
      <c r="L66" s="15" t="e">
        <f>IF('001'!L66+Рабочие!#REF!+#REF!+#REF!+SDLG!#REF!+#REF!+#REF!+#REF!+#REF!+#REF!+#REF!+#REF!+#REF!+#REF!+#REF!+#REF!+#REF!+#REF!+'18'!L66+#REF!+#REF!+#REF!+#REF!,'001'!L66+Рабочие!#REF!+#REF!+#REF!+SDLG!#REF!+#REF!+#REF!+#REF!+#REF!+#REF!+#REF!+#REF!+#REF!+#REF!+#REF!+#REF!+#REF!+#REF!+'18'!L66+#REF!+#REF!+#REF!+#REF!," ")</f>
        <v>#REF!</v>
      </c>
      <c r="M66" s="15" t="e">
        <f>IF('001'!M66+Рабочие!#REF!+#REF!+#REF!+SDLG!#REF!+#REF!+#REF!+#REF!+#REF!+#REF!+#REF!+#REF!+#REF!+#REF!+#REF!+#REF!+#REF!+#REF!+'18'!M66+#REF!+#REF!+#REF!+#REF!,'001'!M66+Рабочие!#REF!+#REF!+#REF!+SDLG!#REF!+#REF!+#REF!+#REF!+#REF!+#REF!+#REF!+#REF!+#REF!+#REF!+#REF!+#REF!+#REF!+#REF!+'18'!M66+#REF!+#REF!+#REF!+#REF!," ")</f>
        <v>#REF!</v>
      </c>
      <c r="N66" s="15" t="e">
        <f>IF('001'!N66+Рабочие!#REF!+#REF!+#REF!+SDLG!#REF!+#REF!+#REF!+#REF!+#REF!+#REF!+#REF!+#REF!+#REF!+#REF!+#REF!+#REF!+#REF!+#REF!+'18'!N66+#REF!+#REF!+#REF!+#REF!,'001'!N66+Рабочие!#REF!+#REF!+#REF!+SDLG!#REF!+#REF!+#REF!+#REF!+#REF!+#REF!+#REF!+#REF!+#REF!+#REF!+#REF!+#REF!+#REF!+#REF!+'18'!N66+#REF!+#REF!+#REF!+#REF!," ")</f>
        <v>#REF!</v>
      </c>
      <c r="O66" s="15" t="e">
        <f>IF('001'!O66+Рабочие!#REF!+#REF!+#REF!+SDLG!#REF!+#REF!+#REF!+#REF!+#REF!+#REF!+#REF!+#REF!+#REF!+#REF!+#REF!+#REF!+#REF!+#REF!+'18'!O66+#REF!+#REF!+#REF!+#REF!,'001'!O66+Рабочие!#REF!+#REF!+#REF!+SDLG!#REF!+#REF!+#REF!+#REF!+#REF!+#REF!+#REF!+#REF!+#REF!+#REF!+#REF!+#REF!+#REF!+#REF!+'18'!O66+#REF!+#REF!+#REF!+#REF!," ")</f>
        <v>#REF!</v>
      </c>
      <c r="P66" s="15" t="e">
        <f>IF('001'!P66+Рабочие!#REF!+#REF!+#REF!+SDLG!#REF!+#REF!+#REF!+#REF!+#REF!+#REF!+#REF!+#REF!+#REF!+#REF!+#REF!+#REF!+#REF!+#REF!+'18'!P66+#REF!+#REF!+#REF!+#REF!,'001'!P66+Рабочие!#REF!+#REF!+#REF!+SDLG!#REF!+#REF!+#REF!+#REF!+#REF!+#REF!+#REF!+#REF!+#REF!+#REF!+#REF!+#REF!+#REF!+#REF!+'18'!P66+#REF!+#REF!+#REF!+#REF!," ")</f>
        <v>#REF!</v>
      </c>
      <c r="Q66" s="15" t="e">
        <f>IF('001'!Q66+Рабочие!#REF!+#REF!+#REF!+SDLG!#REF!+#REF!+#REF!+#REF!+#REF!+#REF!+#REF!+#REF!+#REF!+#REF!+#REF!+#REF!+#REF!+#REF!+'18'!Q66+#REF!+#REF!+#REF!+#REF!,'001'!Q66+Рабочие!#REF!+#REF!+#REF!+SDLG!#REF!+#REF!+#REF!+#REF!+#REF!+#REF!+#REF!+#REF!+#REF!+#REF!+#REF!+#REF!+#REF!+#REF!+'18'!Q66+#REF!+#REF!+#REF!+#REF!," ")</f>
        <v>#REF!</v>
      </c>
      <c r="R66" s="15" t="e">
        <f>IF('001'!R66+Рабочие!#REF!+#REF!+#REF!+SDLG!#REF!+#REF!+#REF!+#REF!+#REF!+#REF!+#REF!+#REF!+#REF!+#REF!+#REF!+#REF!+#REF!+#REF!+'18'!R66+#REF!+#REF!+#REF!+#REF!,'001'!R66+Рабочие!#REF!+#REF!+#REF!+SDLG!#REF!+#REF!+#REF!+#REF!+#REF!+#REF!+#REF!+#REF!+#REF!+#REF!+#REF!+#REF!+#REF!+#REF!+'18'!R66+#REF!+#REF!+#REF!+#REF!," ")</f>
        <v>#REF!</v>
      </c>
      <c r="S66" s="15" t="e">
        <f>IF('001'!S66+Рабочие!#REF!+#REF!+#REF!+SDLG!#REF!+#REF!+#REF!+#REF!+#REF!+#REF!+#REF!+#REF!+#REF!+#REF!+#REF!+#REF!+#REF!+#REF!+'18'!S66+#REF!+#REF!+#REF!+#REF!,'001'!S66+Рабочие!#REF!+#REF!+#REF!+SDLG!#REF!+#REF!+#REF!+#REF!+#REF!+#REF!+#REF!+#REF!+#REF!+#REF!+#REF!+#REF!+#REF!+#REF!+'18'!S66+#REF!+#REF!+#REF!+#REF!," ")</f>
        <v>#REF!</v>
      </c>
      <c r="T66" s="69" t="e">
        <f>SUM(D66:S67)</f>
        <v>#REF!</v>
      </c>
      <c r="U66" s="57"/>
      <c r="V66" s="57"/>
      <c r="W66" s="57"/>
      <c r="X66" s="57"/>
      <c r="Y66" s="115" t="s">
        <v>75</v>
      </c>
      <c r="Z66" s="57"/>
      <c r="AA66" s="57"/>
      <c r="AB66" s="57"/>
      <c r="AC66" s="57"/>
      <c r="AD66" s="57"/>
      <c r="AE66" s="57"/>
      <c r="AF66" s="57"/>
      <c r="AG66" s="113" t="e">
        <f>AE104</f>
        <v>#REF!</v>
      </c>
    </row>
    <row r="67" spans="1:33" x14ac:dyDescent="0.25">
      <c r="A67" s="58"/>
      <c r="B67" s="72"/>
      <c r="C67" s="64"/>
      <c r="D67" s="15" t="e">
        <f>IF('001'!D67+Рабочие!#REF!+#REF!+#REF!+SDLG!#REF!+#REF!+#REF!+#REF!+#REF!+#REF!+#REF!+#REF!+#REF!+#REF!+#REF!+#REF!+#REF!+#REF!+'18'!D67+#REF!+#REF!+#REF!+#REF!,'001'!D67+Рабочие!#REF!+#REF!+#REF!+SDLG!#REF!+#REF!+#REF!+#REF!+#REF!+#REF!+#REF!+#REF!+#REF!+#REF!+#REF!+#REF!+#REF!+#REF!+'18'!D67+#REF!+#REF!+#REF!+#REF!," ")</f>
        <v>#REF!</v>
      </c>
      <c r="E67" s="15" t="e">
        <f>IF('001'!E67+Рабочие!#REF!+#REF!+#REF!+SDLG!#REF!+#REF!+#REF!+#REF!+#REF!+#REF!+#REF!+#REF!+#REF!+#REF!+#REF!+#REF!+#REF!+#REF!+'18'!E67+#REF!+#REF!+#REF!+#REF!,'001'!E67+Рабочие!#REF!+#REF!+#REF!+SDLG!#REF!+#REF!+#REF!+#REF!+#REF!+#REF!+#REF!+#REF!+#REF!+#REF!+#REF!+#REF!+#REF!+#REF!+'18'!E67+#REF!+#REF!+#REF!+#REF!," ")</f>
        <v>#REF!</v>
      </c>
      <c r="F67" s="15" t="e">
        <f>IF('001'!F67+Рабочие!#REF!+#REF!+#REF!+SDLG!#REF!+#REF!+#REF!+#REF!+#REF!+#REF!+#REF!+#REF!+#REF!+#REF!+#REF!+#REF!+#REF!+#REF!+'18'!F67+#REF!+#REF!+#REF!+#REF!,'001'!F67+Рабочие!#REF!+#REF!+#REF!+SDLG!#REF!+#REF!+#REF!+#REF!+#REF!+#REF!+#REF!+#REF!+#REF!+#REF!+#REF!+#REF!+#REF!+#REF!+'18'!F67+#REF!+#REF!+#REF!+#REF!," ")</f>
        <v>#REF!</v>
      </c>
      <c r="G67" s="15" t="e">
        <f>IF('001'!G67+Рабочие!#REF!+#REF!+#REF!+SDLG!#REF!+#REF!+#REF!+#REF!+#REF!+#REF!+#REF!+#REF!+#REF!+#REF!+#REF!+#REF!+#REF!+#REF!+'18'!G67+#REF!+#REF!+#REF!+#REF!,'001'!G67+Рабочие!#REF!+#REF!+#REF!+SDLG!#REF!+#REF!+#REF!+#REF!+#REF!+#REF!+#REF!+#REF!+#REF!+#REF!+#REF!+#REF!+#REF!+#REF!+'18'!G67+#REF!+#REF!+#REF!+#REF!," ")</f>
        <v>#REF!</v>
      </c>
      <c r="H67" s="15" t="e">
        <f>IF('001'!H67+Рабочие!#REF!+#REF!+#REF!+SDLG!#REF!+#REF!+#REF!+#REF!+#REF!+#REF!+#REF!+#REF!+#REF!+#REF!+#REF!+#REF!+#REF!+#REF!+'18'!H67+#REF!+#REF!+#REF!+#REF!,'001'!H67+Рабочие!#REF!+#REF!+#REF!+SDLG!#REF!+#REF!+#REF!+#REF!+#REF!+#REF!+#REF!+#REF!+#REF!+#REF!+#REF!+#REF!+#REF!+#REF!+'18'!H67+#REF!+#REF!+#REF!+#REF!," ")</f>
        <v>#REF!</v>
      </c>
      <c r="I67" s="15" t="e">
        <f>IF('001'!I67+Рабочие!#REF!+#REF!+#REF!+SDLG!#REF!+#REF!+#REF!+#REF!+#REF!+#REF!+#REF!+#REF!+#REF!+#REF!+#REF!+#REF!+#REF!+#REF!+'18'!I67+#REF!+#REF!+#REF!+#REF!,'001'!I67+Рабочие!#REF!+#REF!+#REF!+SDLG!#REF!+#REF!+#REF!+#REF!+#REF!+#REF!+#REF!+#REF!+#REF!+#REF!+#REF!+#REF!+#REF!+#REF!+'18'!I67+#REF!+#REF!+#REF!+#REF!," ")</f>
        <v>#REF!</v>
      </c>
      <c r="J67" s="15" t="e">
        <f>IF('001'!J67+Рабочие!#REF!+#REF!+#REF!+SDLG!#REF!+#REF!+#REF!+#REF!+#REF!+#REF!+#REF!+#REF!+#REF!+#REF!+#REF!+#REF!+#REF!+#REF!+'18'!J67+#REF!+#REF!+#REF!+#REF!,'001'!J67+Рабочие!#REF!+#REF!+#REF!+SDLG!#REF!+#REF!+#REF!+#REF!+#REF!+#REF!+#REF!+#REF!+#REF!+#REF!+#REF!+#REF!+#REF!+#REF!+'18'!J67+#REF!+#REF!+#REF!+#REF!," ")</f>
        <v>#REF!</v>
      </c>
      <c r="K67" s="15" t="e">
        <f>IF('001'!K67+Рабочие!#REF!+#REF!+#REF!+SDLG!#REF!+#REF!+#REF!+#REF!+#REF!+#REF!+#REF!+#REF!+#REF!+#REF!+#REF!+#REF!+#REF!+#REF!+'18'!K67+#REF!+#REF!+#REF!+#REF!,'001'!K67+Рабочие!#REF!+#REF!+#REF!+SDLG!#REF!+#REF!+#REF!+#REF!+#REF!+#REF!+#REF!+#REF!+#REF!+#REF!+#REF!+#REF!+#REF!+#REF!+'18'!K67+#REF!+#REF!+#REF!+#REF!," ")</f>
        <v>#REF!</v>
      </c>
      <c r="L67" s="15" t="e">
        <f>IF('001'!L67+Рабочие!#REF!+#REF!+#REF!+SDLG!#REF!+#REF!+#REF!+#REF!+#REF!+#REF!+#REF!+#REF!+#REF!+#REF!+#REF!+#REF!+#REF!+#REF!+'18'!L67+#REF!+#REF!+#REF!+#REF!,'001'!L67+Рабочие!#REF!+#REF!+#REF!+SDLG!#REF!+#REF!+#REF!+#REF!+#REF!+#REF!+#REF!+#REF!+#REF!+#REF!+#REF!+#REF!+#REF!+#REF!+'18'!L67+#REF!+#REF!+#REF!+#REF!," ")</f>
        <v>#REF!</v>
      </c>
      <c r="M67" s="15" t="e">
        <f>IF('001'!M67+Рабочие!#REF!+#REF!+#REF!+SDLG!#REF!+#REF!+#REF!+#REF!+#REF!+#REF!+#REF!+#REF!+#REF!+#REF!+#REF!+#REF!+#REF!+#REF!+'18'!M67+#REF!+#REF!+#REF!+#REF!,'001'!M67+Рабочие!#REF!+#REF!+#REF!+SDLG!#REF!+#REF!+#REF!+#REF!+#REF!+#REF!+#REF!+#REF!+#REF!+#REF!+#REF!+#REF!+#REF!+#REF!+'18'!M67+#REF!+#REF!+#REF!+#REF!," ")</f>
        <v>#REF!</v>
      </c>
      <c r="N67" s="15" t="e">
        <f>IF('001'!N67+Рабочие!#REF!+#REF!+#REF!+SDLG!#REF!+#REF!+#REF!+#REF!+#REF!+#REF!+#REF!+#REF!+#REF!+#REF!+#REF!+#REF!+#REF!+#REF!+'18'!N67+#REF!+#REF!+#REF!+#REF!,'001'!N67+Рабочие!#REF!+#REF!+#REF!+SDLG!#REF!+#REF!+#REF!+#REF!+#REF!+#REF!+#REF!+#REF!+#REF!+#REF!+#REF!+#REF!+#REF!+#REF!+'18'!N67+#REF!+#REF!+#REF!+#REF!," ")</f>
        <v>#REF!</v>
      </c>
      <c r="O67" s="15" t="e">
        <f>IF('001'!O67+Рабочие!#REF!+#REF!+#REF!+SDLG!#REF!+#REF!+#REF!+#REF!+#REF!+#REF!+#REF!+#REF!+#REF!+#REF!+#REF!+#REF!+#REF!+#REF!+'18'!O67+#REF!+#REF!+#REF!+#REF!,'001'!O67+Рабочие!#REF!+#REF!+#REF!+SDLG!#REF!+#REF!+#REF!+#REF!+#REF!+#REF!+#REF!+#REF!+#REF!+#REF!+#REF!+#REF!+#REF!+#REF!+'18'!O67+#REF!+#REF!+#REF!+#REF!," ")</f>
        <v>#REF!</v>
      </c>
      <c r="P67" s="15" t="e">
        <f>IF('001'!P67+Рабочие!#REF!+#REF!+#REF!+SDLG!#REF!+#REF!+#REF!+#REF!+#REF!+#REF!+#REF!+#REF!+#REF!+#REF!+#REF!+#REF!+#REF!+#REF!+'18'!P67+#REF!+#REF!+#REF!+#REF!,'001'!P67+Рабочие!#REF!+#REF!+#REF!+SDLG!#REF!+#REF!+#REF!+#REF!+#REF!+#REF!+#REF!+#REF!+#REF!+#REF!+#REF!+#REF!+#REF!+#REF!+'18'!P67+#REF!+#REF!+#REF!+#REF!," ")</f>
        <v>#REF!</v>
      </c>
      <c r="Q67" s="15" t="e">
        <f>IF('001'!Q67+Рабочие!#REF!+#REF!+#REF!+SDLG!#REF!+#REF!+#REF!+#REF!+#REF!+#REF!+#REF!+#REF!+#REF!+#REF!+#REF!+#REF!+#REF!+#REF!+'18'!Q67+#REF!+#REF!+#REF!+#REF!,'001'!Q67+Рабочие!#REF!+#REF!+#REF!+SDLG!#REF!+#REF!+#REF!+#REF!+#REF!+#REF!+#REF!+#REF!+#REF!+#REF!+#REF!+#REF!+#REF!+#REF!+'18'!Q67+#REF!+#REF!+#REF!+#REF!," ")</f>
        <v>#REF!</v>
      </c>
      <c r="R67" s="15" t="e">
        <f>IF('001'!R67+Рабочие!#REF!+#REF!+#REF!+SDLG!#REF!+#REF!+#REF!+#REF!+#REF!+#REF!+#REF!+#REF!+#REF!+#REF!+#REF!+#REF!+#REF!+#REF!+'18'!R67+#REF!+#REF!+#REF!+#REF!,'001'!R67+Рабочие!#REF!+#REF!+#REF!+SDLG!#REF!+#REF!+#REF!+#REF!+#REF!+#REF!+#REF!+#REF!+#REF!+#REF!+#REF!+#REF!+#REF!+#REF!+'18'!R67+#REF!+#REF!+#REF!+#REF!," ")</f>
        <v>#REF!</v>
      </c>
      <c r="S67" s="15" t="e">
        <f>IF('001'!S67+Рабочие!#REF!+#REF!+#REF!+SDLG!#REF!+#REF!+#REF!+#REF!+#REF!+#REF!+#REF!+#REF!+#REF!+#REF!+#REF!+#REF!+#REF!+#REF!+'18'!S67+#REF!+#REF!+#REF!+#REF!,'001'!S67+Рабочие!#REF!+#REF!+#REF!+SDLG!#REF!+#REF!+#REF!+#REF!+#REF!+#REF!+#REF!+#REF!+#REF!+#REF!+#REF!+#REF!+#REF!+#REF!+'18'!S67+#REF!+#REF!+#REF!+#REF!," ")</f>
        <v>#REF!</v>
      </c>
      <c r="T67" s="70"/>
      <c r="U67" s="58"/>
      <c r="V67" s="58"/>
      <c r="W67" s="58"/>
      <c r="X67" s="58"/>
      <c r="Y67" s="116"/>
      <c r="Z67" s="58"/>
      <c r="AA67" s="58"/>
      <c r="AB67" s="58"/>
      <c r="AC67" s="58"/>
      <c r="AD67" s="58"/>
      <c r="AE67" s="58"/>
      <c r="AF67" s="58"/>
      <c r="AG67" s="114"/>
    </row>
    <row r="68" spans="1:33" x14ac:dyDescent="0.25">
      <c r="A68" s="57">
        <v>12</v>
      </c>
      <c r="B68" s="71" t="s">
        <v>56</v>
      </c>
      <c r="C68" s="63">
        <v>3</v>
      </c>
      <c r="D68" s="15" t="e">
        <f>IF('001'!D68+Рабочие!#REF!+#REF!+#REF!+SDLG!#REF!+#REF!+#REF!+#REF!+#REF!+#REF!+#REF!+#REF!+#REF!+#REF!+#REF!+#REF!+#REF!+#REF!+'18'!D68+#REF!+#REF!+#REF!+#REF!,'001'!D68+Рабочие!#REF!+#REF!+#REF!+SDLG!#REF!+#REF!+#REF!+#REF!+#REF!+#REF!+#REF!+#REF!+#REF!+#REF!+#REF!+#REF!+#REF!+#REF!+'18'!D68+#REF!+#REF!+#REF!+#REF!," ")</f>
        <v>#REF!</v>
      </c>
      <c r="E68" s="15" t="e">
        <f>IF('001'!E68+Рабочие!#REF!+#REF!+#REF!+SDLG!#REF!+#REF!+#REF!+#REF!+#REF!+#REF!+#REF!+#REF!+#REF!+#REF!+#REF!+#REF!+#REF!+#REF!+'18'!E68+#REF!+#REF!+#REF!+#REF!,'001'!E68+Рабочие!#REF!+#REF!+#REF!+SDLG!#REF!+#REF!+#REF!+#REF!+#REF!+#REF!+#REF!+#REF!+#REF!+#REF!+#REF!+#REF!+#REF!+#REF!+'18'!E68+#REF!+#REF!+#REF!+#REF!," ")</f>
        <v>#REF!</v>
      </c>
      <c r="F68" s="15" t="e">
        <f>IF('001'!F68+Рабочие!#REF!+#REF!+#REF!+SDLG!#REF!+#REF!+#REF!+#REF!+#REF!+#REF!+#REF!+#REF!+#REF!+#REF!+#REF!+#REF!+#REF!+#REF!+'18'!F68+#REF!+#REF!+#REF!+#REF!,'001'!F68+Рабочие!#REF!+#REF!+#REF!+SDLG!#REF!+#REF!+#REF!+#REF!+#REF!+#REF!+#REF!+#REF!+#REF!+#REF!+#REF!+#REF!+#REF!+#REF!+'18'!F68+#REF!+#REF!+#REF!+#REF!," ")</f>
        <v>#REF!</v>
      </c>
      <c r="G68" s="15" t="e">
        <f>IF('001'!G68+Рабочие!#REF!+#REF!+#REF!+SDLG!#REF!+#REF!+#REF!+#REF!+#REF!+#REF!+#REF!+#REF!+#REF!+#REF!+#REF!+#REF!+#REF!+#REF!+'18'!G68+#REF!+#REF!+#REF!+#REF!,'001'!G68+Рабочие!#REF!+#REF!+#REF!+SDLG!#REF!+#REF!+#REF!+#REF!+#REF!+#REF!+#REF!+#REF!+#REF!+#REF!+#REF!+#REF!+#REF!+#REF!+'18'!G68+#REF!+#REF!+#REF!+#REF!," ")</f>
        <v>#REF!</v>
      </c>
      <c r="H68" s="15" t="e">
        <f>IF('001'!H68+Рабочие!#REF!+#REF!+#REF!+SDLG!#REF!+#REF!+#REF!+#REF!+#REF!+#REF!+#REF!+#REF!+#REF!+#REF!+#REF!+#REF!+#REF!+#REF!+'18'!H68+#REF!+#REF!+#REF!+#REF!,'001'!H68+Рабочие!#REF!+#REF!+#REF!+SDLG!#REF!+#REF!+#REF!+#REF!+#REF!+#REF!+#REF!+#REF!+#REF!+#REF!+#REF!+#REF!+#REF!+#REF!+'18'!H68+#REF!+#REF!+#REF!+#REF!," ")</f>
        <v>#REF!</v>
      </c>
      <c r="I68" s="15" t="e">
        <f>IF('001'!I68+Рабочие!#REF!+#REF!+#REF!+SDLG!#REF!+#REF!+#REF!+#REF!+#REF!+#REF!+#REF!+#REF!+#REF!+#REF!+#REF!+#REF!+#REF!+#REF!+'18'!I68+#REF!+#REF!+#REF!+#REF!,'001'!I68+Рабочие!#REF!+#REF!+#REF!+SDLG!#REF!+#REF!+#REF!+#REF!+#REF!+#REF!+#REF!+#REF!+#REF!+#REF!+#REF!+#REF!+#REF!+#REF!+'18'!I68+#REF!+#REF!+#REF!+#REF!," ")</f>
        <v>#REF!</v>
      </c>
      <c r="J68" s="15" t="e">
        <f>IF('001'!J68+Рабочие!#REF!+#REF!+#REF!+SDLG!#REF!+#REF!+#REF!+#REF!+#REF!+#REF!+#REF!+#REF!+#REF!+#REF!+#REF!+#REF!+#REF!+#REF!+'18'!J68+#REF!+#REF!+#REF!+#REF!,'001'!J68+Рабочие!#REF!+#REF!+#REF!+SDLG!#REF!+#REF!+#REF!+#REF!+#REF!+#REF!+#REF!+#REF!+#REF!+#REF!+#REF!+#REF!+#REF!+#REF!+'18'!J68+#REF!+#REF!+#REF!+#REF!," ")</f>
        <v>#REF!</v>
      </c>
      <c r="K68" s="15" t="e">
        <f>IF('001'!K68+Рабочие!#REF!+#REF!+#REF!+SDLG!#REF!+#REF!+#REF!+#REF!+#REF!+#REF!+#REF!+#REF!+#REF!+#REF!+#REF!+#REF!+#REF!+#REF!+'18'!K68+#REF!+#REF!+#REF!+#REF!,'001'!K68+Рабочие!#REF!+#REF!+#REF!+SDLG!#REF!+#REF!+#REF!+#REF!+#REF!+#REF!+#REF!+#REF!+#REF!+#REF!+#REF!+#REF!+#REF!+#REF!+'18'!K68+#REF!+#REF!+#REF!+#REF!," ")</f>
        <v>#REF!</v>
      </c>
      <c r="L68" s="15" t="e">
        <f>IF('001'!L68+Рабочие!#REF!+#REF!+#REF!+SDLG!#REF!+#REF!+#REF!+#REF!+#REF!+#REF!+#REF!+#REF!+#REF!+#REF!+#REF!+#REF!+#REF!+#REF!+'18'!L68+#REF!+#REF!+#REF!+#REF!,'001'!L68+Рабочие!#REF!+#REF!+#REF!+SDLG!#REF!+#REF!+#REF!+#REF!+#REF!+#REF!+#REF!+#REF!+#REF!+#REF!+#REF!+#REF!+#REF!+#REF!+'18'!L68+#REF!+#REF!+#REF!+#REF!," ")</f>
        <v>#REF!</v>
      </c>
      <c r="M68" s="15" t="e">
        <f>IF('001'!M68+Рабочие!#REF!+#REF!+#REF!+SDLG!#REF!+#REF!+#REF!+#REF!+#REF!+#REF!+#REF!+#REF!+#REF!+#REF!+#REF!+#REF!+#REF!+#REF!+'18'!M68+#REF!+#REF!+#REF!+#REF!,'001'!M68+Рабочие!#REF!+#REF!+#REF!+SDLG!#REF!+#REF!+#REF!+#REF!+#REF!+#REF!+#REF!+#REF!+#REF!+#REF!+#REF!+#REF!+#REF!+#REF!+'18'!M68+#REF!+#REF!+#REF!+#REF!," ")</f>
        <v>#REF!</v>
      </c>
      <c r="N68" s="15" t="e">
        <f>IF('001'!N68+Рабочие!#REF!+#REF!+#REF!+SDLG!#REF!+#REF!+#REF!+#REF!+#REF!+#REF!+#REF!+#REF!+#REF!+#REF!+#REF!+#REF!+#REF!+#REF!+'18'!N68+#REF!+#REF!+#REF!+#REF!,'001'!N68+Рабочие!#REF!+#REF!+#REF!+SDLG!#REF!+#REF!+#REF!+#REF!+#REF!+#REF!+#REF!+#REF!+#REF!+#REF!+#REF!+#REF!+#REF!+#REF!+'18'!N68+#REF!+#REF!+#REF!+#REF!," ")</f>
        <v>#REF!</v>
      </c>
      <c r="O68" s="15" t="e">
        <f>IF('001'!O68+Рабочие!#REF!+#REF!+#REF!+SDLG!#REF!+#REF!+#REF!+#REF!+#REF!+#REF!+#REF!+#REF!+#REF!+#REF!+#REF!+#REF!+#REF!+#REF!+'18'!O68+#REF!+#REF!+#REF!+#REF!,'001'!O68+Рабочие!#REF!+#REF!+#REF!+SDLG!#REF!+#REF!+#REF!+#REF!+#REF!+#REF!+#REF!+#REF!+#REF!+#REF!+#REF!+#REF!+#REF!+#REF!+'18'!O68+#REF!+#REF!+#REF!+#REF!," ")</f>
        <v>#REF!</v>
      </c>
      <c r="P68" s="15" t="e">
        <f>IF('001'!P68+Рабочие!#REF!+#REF!+#REF!+SDLG!#REF!+#REF!+#REF!+#REF!+#REF!+#REF!+#REF!+#REF!+#REF!+#REF!+#REF!+#REF!+#REF!+#REF!+'18'!P68+#REF!+#REF!+#REF!+#REF!,'001'!P68+Рабочие!#REF!+#REF!+#REF!+SDLG!#REF!+#REF!+#REF!+#REF!+#REF!+#REF!+#REF!+#REF!+#REF!+#REF!+#REF!+#REF!+#REF!+#REF!+'18'!P68+#REF!+#REF!+#REF!+#REF!," ")</f>
        <v>#REF!</v>
      </c>
      <c r="Q68" s="15" t="e">
        <f>IF('001'!Q68+Рабочие!#REF!+#REF!+#REF!+SDLG!#REF!+#REF!+#REF!+#REF!+#REF!+#REF!+#REF!+#REF!+#REF!+#REF!+#REF!+#REF!+#REF!+#REF!+'18'!Q68+#REF!+#REF!+#REF!+#REF!,'001'!Q68+Рабочие!#REF!+#REF!+#REF!+SDLG!#REF!+#REF!+#REF!+#REF!+#REF!+#REF!+#REF!+#REF!+#REF!+#REF!+#REF!+#REF!+#REF!+#REF!+'18'!Q68+#REF!+#REF!+#REF!+#REF!," ")</f>
        <v>#REF!</v>
      </c>
      <c r="R68" s="15" t="e">
        <f>IF('001'!R68+Рабочие!#REF!+#REF!+#REF!+SDLG!#REF!+#REF!+#REF!+#REF!+#REF!+#REF!+#REF!+#REF!+#REF!+#REF!+#REF!+#REF!+#REF!+#REF!+'18'!R68+#REF!+#REF!+#REF!+#REF!,'001'!R68+Рабочие!#REF!+#REF!+#REF!+SDLG!#REF!+#REF!+#REF!+#REF!+#REF!+#REF!+#REF!+#REF!+#REF!+#REF!+#REF!+#REF!+#REF!+#REF!+'18'!R68+#REF!+#REF!+#REF!+#REF!," ")</f>
        <v>#REF!</v>
      </c>
      <c r="S68" s="15" t="e">
        <f>IF('001'!S68+Рабочие!#REF!+#REF!+#REF!+SDLG!#REF!+#REF!+#REF!+#REF!+#REF!+#REF!+#REF!+#REF!+#REF!+#REF!+#REF!+#REF!+#REF!+#REF!+'18'!S68+#REF!+#REF!+#REF!+#REF!,'001'!S68+Рабочие!#REF!+#REF!+#REF!+SDLG!#REF!+#REF!+#REF!+#REF!+#REF!+#REF!+#REF!+#REF!+#REF!+#REF!+#REF!+#REF!+#REF!+#REF!+'18'!S68+#REF!+#REF!+#REF!+#REF!," ")</f>
        <v>#REF!</v>
      </c>
      <c r="T68" s="69" t="e">
        <f>SUM(D68:S69)</f>
        <v>#REF!</v>
      </c>
      <c r="U68" s="57"/>
      <c r="V68" s="57"/>
      <c r="W68" s="57"/>
      <c r="X68" s="57"/>
      <c r="Y68" s="115" t="s">
        <v>75</v>
      </c>
      <c r="Z68" s="57"/>
      <c r="AA68" s="57"/>
      <c r="AB68" s="57"/>
      <c r="AC68" s="57"/>
      <c r="AD68" s="57"/>
      <c r="AE68" s="57"/>
      <c r="AF68" s="57"/>
      <c r="AG68" s="113" t="e">
        <f>AE105</f>
        <v>#REF!</v>
      </c>
    </row>
    <row r="69" spans="1:33" x14ac:dyDescent="0.25">
      <c r="A69" s="58"/>
      <c r="B69" s="72"/>
      <c r="C69" s="64"/>
      <c r="D69" s="15" t="e">
        <f>IF('001'!D69+Рабочие!#REF!+#REF!+#REF!+SDLG!#REF!+#REF!+#REF!+#REF!+#REF!+#REF!+#REF!+#REF!+#REF!+#REF!+#REF!+#REF!+#REF!+#REF!+'18'!D69+#REF!+#REF!+#REF!+#REF!,'001'!D69+Рабочие!#REF!+#REF!+#REF!+SDLG!#REF!+#REF!+#REF!+#REF!+#REF!+#REF!+#REF!+#REF!+#REF!+#REF!+#REF!+#REF!+#REF!+#REF!+'18'!D69+#REF!+#REF!+#REF!+#REF!," ")</f>
        <v>#REF!</v>
      </c>
      <c r="E69" s="15" t="e">
        <f>IF('001'!E69+Рабочие!#REF!+#REF!+#REF!+SDLG!#REF!+#REF!+#REF!+#REF!+#REF!+#REF!+#REF!+#REF!+#REF!+#REF!+#REF!+#REF!+#REF!+#REF!+'18'!E69+#REF!+#REF!+#REF!+#REF!,'001'!E69+Рабочие!#REF!+#REF!+#REF!+SDLG!#REF!+#REF!+#REF!+#REF!+#REF!+#REF!+#REF!+#REF!+#REF!+#REF!+#REF!+#REF!+#REF!+#REF!+'18'!E69+#REF!+#REF!+#REF!+#REF!," ")</f>
        <v>#REF!</v>
      </c>
      <c r="F69" s="15" t="e">
        <f>IF('001'!F69+Рабочие!#REF!+#REF!+#REF!+SDLG!#REF!+#REF!+#REF!+#REF!+#REF!+#REF!+#REF!+#REF!+#REF!+#REF!+#REF!+#REF!+#REF!+#REF!+'18'!F69+#REF!+#REF!+#REF!+#REF!,'001'!F69+Рабочие!#REF!+#REF!+#REF!+SDLG!#REF!+#REF!+#REF!+#REF!+#REF!+#REF!+#REF!+#REF!+#REF!+#REF!+#REF!+#REF!+#REF!+#REF!+'18'!F69+#REF!+#REF!+#REF!+#REF!," ")</f>
        <v>#REF!</v>
      </c>
      <c r="G69" s="15" t="e">
        <f>IF('001'!G69+Рабочие!#REF!+#REF!+#REF!+SDLG!#REF!+#REF!+#REF!+#REF!+#REF!+#REF!+#REF!+#REF!+#REF!+#REF!+#REF!+#REF!+#REF!+#REF!+'18'!G69+#REF!+#REF!+#REF!+#REF!,'001'!G69+Рабочие!#REF!+#REF!+#REF!+SDLG!#REF!+#REF!+#REF!+#REF!+#REF!+#REF!+#REF!+#REF!+#REF!+#REF!+#REF!+#REF!+#REF!+#REF!+'18'!G69+#REF!+#REF!+#REF!+#REF!," ")</f>
        <v>#REF!</v>
      </c>
      <c r="H69" s="15" t="e">
        <f>IF('001'!H69+Рабочие!#REF!+#REF!+#REF!+SDLG!#REF!+#REF!+#REF!+#REF!+#REF!+#REF!+#REF!+#REF!+#REF!+#REF!+#REF!+#REF!+#REF!+#REF!+'18'!H69+#REF!+#REF!+#REF!+#REF!,'001'!H69+Рабочие!#REF!+#REF!+#REF!+SDLG!#REF!+#REF!+#REF!+#REF!+#REF!+#REF!+#REF!+#REF!+#REF!+#REF!+#REF!+#REF!+#REF!+#REF!+'18'!H69+#REF!+#REF!+#REF!+#REF!," ")</f>
        <v>#REF!</v>
      </c>
      <c r="I69" s="15" t="e">
        <f>IF('001'!I69+Рабочие!#REF!+#REF!+#REF!+SDLG!#REF!+#REF!+#REF!+#REF!+#REF!+#REF!+#REF!+#REF!+#REF!+#REF!+#REF!+#REF!+#REF!+#REF!+'18'!I69+#REF!+#REF!+#REF!+#REF!,'001'!I69+Рабочие!#REF!+#REF!+#REF!+SDLG!#REF!+#REF!+#REF!+#REF!+#REF!+#REF!+#REF!+#REF!+#REF!+#REF!+#REF!+#REF!+#REF!+#REF!+'18'!I69+#REF!+#REF!+#REF!+#REF!," ")</f>
        <v>#REF!</v>
      </c>
      <c r="J69" s="15" t="e">
        <f>IF('001'!J69+Рабочие!#REF!+#REF!+#REF!+SDLG!#REF!+#REF!+#REF!+#REF!+#REF!+#REF!+#REF!+#REF!+#REF!+#REF!+#REF!+#REF!+#REF!+#REF!+'18'!J69+#REF!+#REF!+#REF!+#REF!,'001'!J69+Рабочие!#REF!+#REF!+#REF!+SDLG!#REF!+#REF!+#REF!+#REF!+#REF!+#REF!+#REF!+#REF!+#REF!+#REF!+#REF!+#REF!+#REF!+#REF!+'18'!J69+#REF!+#REF!+#REF!+#REF!," ")</f>
        <v>#REF!</v>
      </c>
      <c r="K69" s="15" t="e">
        <f>IF('001'!K69+Рабочие!#REF!+#REF!+#REF!+SDLG!#REF!+#REF!+#REF!+#REF!+#REF!+#REF!+#REF!+#REF!+#REF!+#REF!+#REF!+#REF!+#REF!+#REF!+'18'!K69+#REF!+#REF!+#REF!+#REF!,'001'!K69+Рабочие!#REF!+#REF!+#REF!+SDLG!#REF!+#REF!+#REF!+#REF!+#REF!+#REF!+#REF!+#REF!+#REF!+#REF!+#REF!+#REF!+#REF!+#REF!+'18'!K69+#REF!+#REF!+#REF!+#REF!," ")</f>
        <v>#REF!</v>
      </c>
      <c r="L69" s="15" t="e">
        <f>IF('001'!L69+Рабочие!#REF!+#REF!+#REF!+SDLG!#REF!+#REF!+#REF!+#REF!+#REF!+#REF!+#REF!+#REF!+#REF!+#REF!+#REF!+#REF!+#REF!+#REF!+'18'!L69+#REF!+#REF!+#REF!+#REF!,'001'!L69+Рабочие!#REF!+#REF!+#REF!+SDLG!#REF!+#REF!+#REF!+#REF!+#REF!+#REF!+#REF!+#REF!+#REF!+#REF!+#REF!+#REF!+#REF!+#REF!+'18'!L69+#REF!+#REF!+#REF!+#REF!," ")</f>
        <v>#REF!</v>
      </c>
      <c r="M69" s="15" t="e">
        <f>IF('001'!M69+Рабочие!#REF!+#REF!+#REF!+SDLG!#REF!+#REF!+#REF!+#REF!+#REF!+#REF!+#REF!+#REF!+#REF!+#REF!+#REF!+#REF!+#REF!+#REF!+'18'!M69+#REF!+#REF!+#REF!+#REF!,'001'!M69+Рабочие!#REF!+#REF!+#REF!+SDLG!#REF!+#REF!+#REF!+#REF!+#REF!+#REF!+#REF!+#REF!+#REF!+#REF!+#REF!+#REF!+#REF!+#REF!+'18'!M69+#REF!+#REF!+#REF!+#REF!," ")</f>
        <v>#REF!</v>
      </c>
      <c r="N69" s="15" t="e">
        <f>IF('001'!N69+Рабочие!#REF!+#REF!+#REF!+SDLG!#REF!+#REF!+#REF!+#REF!+#REF!+#REF!+#REF!+#REF!+#REF!+#REF!+#REF!+#REF!+#REF!+#REF!+'18'!N69+#REF!+#REF!+#REF!+#REF!,'001'!N69+Рабочие!#REF!+#REF!+#REF!+SDLG!#REF!+#REF!+#REF!+#REF!+#REF!+#REF!+#REF!+#REF!+#REF!+#REF!+#REF!+#REF!+#REF!+#REF!+'18'!N69+#REF!+#REF!+#REF!+#REF!," ")</f>
        <v>#REF!</v>
      </c>
      <c r="O69" s="15" t="e">
        <f>IF('001'!O69+Рабочие!#REF!+#REF!+#REF!+SDLG!#REF!+#REF!+#REF!+#REF!+#REF!+#REF!+#REF!+#REF!+#REF!+#REF!+#REF!+#REF!+#REF!+#REF!+'18'!O69+#REF!+#REF!+#REF!+#REF!,'001'!O69+Рабочие!#REF!+#REF!+#REF!+SDLG!#REF!+#REF!+#REF!+#REF!+#REF!+#REF!+#REF!+#REF!+#REF!+#REF!+#REF!+#REF!+#REF!+#REF!+'18'!O69+#REF!+#REF!+#REF!+#REF!," ")</f>
        <v>#REF!</v>
      </c>
      <c r="P69" s="15" t="e">
        <f>IF('001'!P69+Рабочие!#REF!+#REF!+#REF!+SDLG!#REF!+#REF!+#REF!+#REF!+#REF!+#REF!+#REF!+#REF!+#REF!+#REF!+#REF!+#REF!+#REF!+#REF!+'18'!P69+#REF!+#REF!+#REF!+#REF!,'001'!P69+Рабочие!#REF!+#REF!+#REF!+SDLG!#REF!+#REF!+#REF!+#REF!+#REF!+#REF!+#REF!+#REF!+#REF!+#REF!+#REF!+#REF!+#REF!+#REF!+'18'!P69+#REF!+#REF!+#REF!+#REF!," ")</f>
        <v>#REF!</v>
      </c>
      <c r="Q69" s="15" t="e">
        <f>IF('001'!Q69+Рабочие!#REF!+#REF!+#REF!+SDLG!#REF!+#REF!+#REF!+#REF!+#REF!+#REF!+#REF!+#REF!+#REF!+#REF!+#REF!+#REF!+#REF!+#REF!+'18'!Q69+#REF!+#REF!+#REF!+#REF!,'001'!Q69+Рабочие!#REF!+#REF!+#REF!+SDLG!#REF!+#REF!+#REF!+#REF!+#REF!+#REF!+#REF!+#REF!+#REF!+#REF!+#REF!+#REF!+#REF!+#REF!+'18'!Q69+#REF!+#REF!+#REF!+#REF!," ")</f>
        <v>#REF!</v>
      </c>
      <c r="R69" s="15" t="e">
        <f>IF('001'!R69+Рабочие!#REF!+#REF!+#REF!+SDLG!#REF!+#REF!+#REF!+#REF!+#REF!+#REF!+#REF!+#REF!+#REF!+#REF!+#REF!+#REF!+#REF!+#REF!+'18'!R69+#REF!+#REF!+#REF!+#REF!,'001'!R69+Рабочие!#REF!+#REF!+#REF!+SDLG!#REF!+#REF!+#REF!+#REF!+#REF!+#REF!+#REF!+#REF!+#REF!+#REF!+#REF!+#REF!+#REF!+#REF!+'18'!R69+#REF!+#REF!+#REF!+#REF!," ")</f>
        <v>#REF!</v>
      </c>
      <c r="S69" s="15" t="e">
        <f>IF('001'!S69+Рабочие!#REF!+#REF!+#REF!+SDLG!#REF!+#REF!+#REF!+#REF!+#REF!+#REF!+#REF!+#REF!+#REF!+#REF!+#REF!+#REF!+#REF!+#REF!+'18'!S69+#REF!+#REF!+#REF!+#REF!,'001'!S69+Рабочие!#REF!+#REF!+#REF!+SDLG!#REF!+#REF!+#REF!+#REF!+#REF!+#REF!+#REF!+#REF!+#REF!+#REF!+#REF!+#REF!+#REF!+#REF!+'18'!S69+#REF!+#REF!+#REF!+#REF!," ")</f>
        <v>#REF!</v>
      </c>
      <c r="T69" s="70"/>
      <c r="U69" s="58"/>
      <c r="V69" s="58"/>
      <c r="W69" s="58"/>
      <c r="X69" s="58"/>
      <c r="Y69" s="116"/>
      <c r="Z69" s="58"/>
      <c r="AA69" s="58"/>
      <c r="AB69" s="58"/>
      <c r="AC69" s="58"/>
      <c r="AD69" s="58"/>
      <c r="AE69" s="58"/>
      <c r="AF69" s="58"/>
      <c r="AG69" s="114"/>
    </row>
    <row r="70" spans="1:33" x14ac:dyDescent="0.25">
      <c r="A70" s="57">
        <v>13</v>
      </c>
      <c r="B70" s="71" t="s">
        <v>94</v>
      </c>
      <c r="C70" s="63">
        <v>3</v>
      </c>
      <c r="D70" s="15" t="e">
        <f>IF('001'!D70+Рабочие!#REF!+#REF!+#REF!+SDLG!#REF!+#REF!+#REF!+#REF!+#REF!+#REF!+#REF!+#REF!+#REF!+#REF!+#REF!+#REF!+#REF!+#REF!+'18'!D70+#REF!+#REF!+#REF!+#REF!,'001'!D70+Рабочие!#REF!+#REF!+#REF!+SDLG!#REF!+#REF!+#REF!+#REF!+#REF!+#REF!+#REF!+#REF!+#REF!+#REF!+#REF!+#REF!+#REF!+#REF!+'18'!D70+#REF!+#REF!+#REF!+#REF!," ")</f>
        <v>#REF!</v>
      </c>
      <c r="E70" s="15" t="e">
        <f>IF('001'!E70+Рабочие!#REF!+#REF!+#REF!+SDLG!#REF!+#REF!+#REF!+#REF!+#REF!+#REF!+#REF!+#REF!+#REF!+#REF!+#REF!+#REF!+#REF!+#REF!+'18'!E70+#REF!+#REF!+#REF!+#REF!,'001'!E70+Рабочие!#REF!+#REF!+#REF!+SDLG!#REF!+#REF!+#REF!+#REF!+#REF!+#REF!+#REF!+#REF!+#REF!+#REF!+#REF!+#REF!+#REF!+#REF!+'18'!E70+#REF!+#REF!+#REF!+#REF!," ")</f>
        <v>#REF!</v>
      </c>
      <c r="F70" s="15" t="e">
        <f>IF('001'!F70+Рабочие!#REF!+#REF!+#REF!+SDLG!#REF!+#REF!+#REF!+#REF!+#REF!+#REF!+#REF!+#REF!+#REF!+#REF!+#REF!+#REF!+#REF!+#REF!+'18'!F70+#REF!+#REF!+#REF!+#REF!,'001'!F70+Рабочие!#REF!+#REF!+#REF!+SDLG!#REF!+#REF!+#REF!+#REF!+#REF!+#REF!+#REF!+#REF!+#REF!+#REF!+#REF!+#REF!+#REF!+#REF!+'18'!F70+#REF!+#REF!+#REF!+#REF!," ")</f>
        <v>#REF!</v>
      </c>
      <c r="G70" s="15" t="e">
        <f>IF('001'!G70+Рабочие!#REF!+#REF!+#REF!+SDLG!#REF!+#REF!+#REF!+#REF!+#REF!+#REF!+#REF!+#REF!+#REF!+#REF!+#REF!+#REF!+#REF!+#REF!+'18'!G70+#REF!+#REF!+#REF!+#REF!,'001'!G70+Рабочие!#REF!+#REF!+#REF!+SDLG!#REF!+#REF!+#REF!+#REF!+#REF!+#REF!+#REF!+#REF!+#REF!+#REF!+#REF!+#REF!+#REF!+#REF!+'18'!G70+#REF!+#REF!+#REF!+#REF!," ")</f>
        <v>#REF!</v>
      </c>
      <c r="H70" s="15" t="e">
        <f>IF('001'!H70+Рабочие!#REF!+#REF!+#REF!+SDLG!#REF!+#REF!+#REF!+#REF!+#REF!+#REF!+#REF!+#REF!+#REF!+#REF!+#REF!+#REF!+#REF!+#REF!+'18'!H70+#REF!+#REF!+#REF!+#REF!,'001'!H70+Рабочие!#REF!+#REF!+#REF!+SDLG!#REF!+#REF!+#REF!+#REF!+#REF!+#REF!+#REF!+#REF!+#REF!+#REF!+#REF!+#REF!+#REF!+#REF!+'18'!H70+#REF!+#REF!+#REF!+#REF!," ")</f>
        <v>#REF!</v>
      </c>
      <c r="I70" s="15" t="e">
        <f>IF('001'!I70+Рабочие!#REF!+#REF!+#REF!+SDLG!#REF!+#REF!+#REF!+#REF!+#REF!+#REF!+#REF!+#REF!+#REF!+#REF!+#REF!+#REF!+#REF!+#REF!+'18'!I70+#REF!+#REF!+#REF!+#REF!,'001'!I70+Рабочие!#REF!+#REF!+#REF!+SDLG!#REF!+#REF!+#REF!+#REF!+#REF!+#REF!+#REF!+#REF!+#REF!+#REF!+#REF!+#REF!+#REF!+#REF!+'18'!I70+#REF!+#REF!+#REF!+#REF!," ")</f>
        <v>#REF!</v>
      </c>
      <c r="J70" s="15" t="e">
        <f>IF('001'!J70+Рабочие!#REF!+#REF!+#REF!+SDLG!#REF!+#REF!+#REF!+#REF!+#REF!+#REF!+#REF!+#REF!+#REF!+#REF!+#REF!+#REF!+#REF!+#REF!+'18'!J70+#REF!+#REF!+#REF!+#REF!,'001'!J70+Рабочие!#REF!+#REF!+#REF!+SDLG!#REF!+#REF!+#REF!+#REF!+#REF!+#REF!+#REF!+#REF!+#REF!+#REF!+#REF!+#REF!+#REF!+#REF!+'18'!J70+#REF!+#REF!+#REF!+#REF!," ")</f>
        <v>#REF!</v>
      </c>
      <c r="K70" s="15" t="e">
        <f>IF('001'!K70+Рабочие!#REF!+#REF!+#REF!+SDLG!#REF!+#REF!+#REF!+#REF!+#REF!+#REF!+#REF!+#REF!+#REF!+#REF!+#REF!+#REF!+#REF!+#REF!+'18'!K70+#REF!+#REF!+#REF!+#REF!,'001'!K70+Рабочие!#REF!+#REF!+#REF!+SDLG!#REF!+#REF!+#REF!+#REF!+#REF!+#REF!+#REF!+#REF!+#REF!+#REF!+#REF!+#REF!+#REF!+#REF!+'18'!K70+#REF!+#REF!+#REF!+#REF!," ")</f>
        <v>#REF!</v>
      </c>
      <c r="L70" s="15" t="e">
        <f>IF('001'!L70+Рабочие!#REF!+#REF!+#REF!+SDLG!#REF!+#REF!+#REF!+#REF!+#REF!+#REF!+#REF!+#REF!+#REF!+#REF!+#REF!+#REF!+#REF!+#REF!+'18'!L70+#REF!+#REF!+#REF!+#REF!,'001'!L70+Рабочие!#REF!+#REF!+#REF!+SDLG!#REF!+#REF!+#REF!+#REF!+#REF!+#REF!+#REF!+#REF!+#REF!+#REF!+#REF!+#REF!+#REF!+#REF!+'18'!L70+#REF!+#REF!+#REF!+#REF!," ")</f>
        <v>#REF!</v>
      </c>
      <c r="M70" s="15" t="e">
        <f>IF('001'!M70+Рабочие!#REF!+#REF!+#REF!+SDLG!#REF!+#REF!+#REF!+#REF!+#REF!+#REF!+#REF!+#REF!+#REF!+#REF!+#REF!+#REF!+#REF!+#REF!+'18'!M70+#REF!+#REF!+#REF!+#REF!,'001'!M70+Рабочие!#REF!+#REF!+#REF!+SDLG!#REF!+#REF!+#REF!+#REF!+#REF!+#REF!+#REF!+#REF!+#REF!+#REF!+#REF!+#REF!+#REF!+#REF!+'18'!M70+#REF!+#REF!+#REF!+#REF!," ")</f>
        <v>#REF!</v>
      </c>
      <c r="N70" s="15" t="e">
        <f>IF('001'!N70+Рабочие!#REF!+#REF!+#REF!+SDLG!#REF!+#REF!+#REF!+#REF!+#REF!+#REF!+#REF!+#REF!+#REF!+#REF!+#REF!+#REF!+#REF!+#REF!+'18'!N70+#REF!+#REF!+#REF!+#REF!,'001'!N70+Рабочие!#REF!+#REF!+#REF!+SDLG!#REF!+#REF!+#REF!+#REF!+#REF!+#REF!+#REF!+#REF!+#REF!+#REF!+#REF!+#REF!+#REF!+#REF!+'18'!N70+#REF!+#REF!+#REF!+#REF!," ")</f>
        <v>#REF!</v>
      </c>
      <c r="O70" s="15" t="e">
        <f>IF('001'!O70+Рабочие!#REF!+#REF!+#REF!+SDLG!#REF!+#REF!+#REF!+#REF!+#REF!+#REF!+#REF!+#REF!+#REF!+#REF!+#REF!+#REF!+#REF!+#REF!+'18'!O70+#REF!+#REF!+#REF!+#REF!,'001'!O70+Рабочие!#REF!+#REF!+#REF!+SDLG!#REF!+#REF!+#REF!+#REF!+#REF!+#REF!+#REF!+#REF!+#REF!+#REF!+#REF!+#REF!+#REF!+#REF!+'18'!O70+#REF!+#REF!+#REF!+#REF!," ")</f>
        <v>#REF!</v>
      </c>
      <c r="P70" s="15" t="e">
        <f>IF('001'!P70+Рабочие!#REF!+#REF!+#REF!+SDLG!#REF!+#REF!+#REF!+#REF!+#REF!+#REF!+#REF!+#REF!+#REF!+#REF!+#REF!+#REF!+#REF!+#REF!+'18'!P70+#REF!+#REF!+#REF!+#REF!,'001'!P70+Рабочие!#REF!+#REF!+#REF!+SDLG!#REF!+#REF!+#REF!+#REF!+#REF!+#REF!+#REF!+#REF!+#REF!+#REF!+#REF!+#REF!+#REF!+#REF!+'18'!P70+#REF!+#REF!+#REF!+#REF!," ")</f>
        <v>#REF!</v>
      </c>
      <c r="Q70" s="15" t="e">
        <f>IF('001'!Q70+Рабочие!#REF!+#REF!+#REF!+SDLG!#REF!+#REF!+#REF!+#REF!+#REF!+#REF!+#REF!+#REF!+#REF!+#REF!+#REF!+#REF!+#REF!+#REF!+'18'!Q70+#REF!+#REF!+#REF!+#REF!,'001'!Q70+Рабочие!#REF!+#REF!+#REF!+SDLG!#REF!+#REF!+#REF!+#REF!+#REF!+#REF!+#REF!+#REF!+#REF!+#REF!+#REF!+#REF!+#REF!+#REF!+'18'!Q70+#REF!+#REF!+#REF!+#REF!," ")</f>
        <v>#REF!</v>
      </c>
      <c r="R70" s="15" t="e">
        <f>IF('001'!R70+Рабочие!#REF!+#REF!+#REF!+SDLG!#REF!+#REF!+#REF!+#REF!+#REF!+#REF!+#REF!+#REF!+#REF!+#REF!+#REF!+#REF!+#REF!+#REF!+'18'!R70+#REF!+#REF!+#REF!+#REF!,'001'!R70+Рабочие!#REF!+#REF!+#REF!+SDLG!#REF!+#REF!+#REF!+#REF!+#REF!+#REF!+#REF!+#REF!+#REF!+#REF!+#REF!+#REF!+#REF!+#REF!+'18'!R70+#REF!+#REF!+#REF!+#REF!," ")</f>
        <v>#REF!</v>
      </c>
      <c r="S70" s="15" t="e">
        <f>IF('001'!S70+Рабочие!#REF!+#REF!+#REF!+SDLG!#REF!+#REF!+#REF!+#REF!+#REF!+#REF!+#REF!+#REF!+#REF!+#REF!+#REF!+#REF!+#REF!+#REF!+'18'!S70+#REF!+#REF!+#REF!+#REF!,'001'!S70+Рабочие!#REF!+#REF!+#REF!+SDLG!#REF!+#REF!+#REF!+#REF!+#REF!+#REF!+#REF!+#REF!+#REF!+#REF!+#REF!+#REF!+#REF!+#REF!+'18'!S70+#REF!+#REF!+#REF!+#REF!," ")</f>
        <v>#REF!</v>
      </c>
      <c r="T70" s="69" t="e">
        <f>SUM(D70:S71)</f>
        <v>#REF!</v>
      </c>
      <c r="U70" s="57"/>
      <c r="V70" s="57"/>
      <c r="W70" s="57"/>
      <c r="X70" s="57"/>
      <c r="Y70" s="115" t="s">
        <v>75</v>
      </c>
      <c r="Z70" s="57"/>
      <c r="AA70" s="57"/>
      <c r="AB70" s="57"/>
      <c r="AC70" s="57"/>
      <c r="AD70" s="57"/>
      <c r="AE70" s="57"/>
      <c r="AF70" s="57"/>
      <c r="AG70" s="113" t="e">
        <f>AE106</f>
        <v>#REF!</v>
      </c>
    </row>
    <row r="71" spans="1:33" x14ac:dyDescent="0.25">
      <c r="A71" s="58"/>
      <c r="B71" s="72"/>
      <c r="C71" s="64"/>
      <c r="D71" s="15" t="e">
        <f>IF('001'!D71+Рабочие!#REF!+#REF!+#REF!+SDLG!#REF!+#REF!+#REF!+#REF!+#REF!+#REF!+#REF!+#REF!+#REF!+#REF!+#REF!+#REF!+#REF!+#REF!+'18'!D71+#REF!+#REF!+#REF!+#REF!,'001'!D71+Рабочие!#REF!+#REF!+#REF!+SDLG!#REF!+#REF!+#REF!+#REF!+#REF!+#REF!+#REF!+#REF!+#REF!+#REF!+#REF!+#REF!+#REF!+#REF!+'18'!D71+#REF!+#REF!+#REF!+#REF!," ")</f>
        <v>#REF!</v>
      </c>
      <c r="E71" s="15" t="e">
        <f>IF('001'!E71+Рабочие!#REF!+#REF!+#REF!+SDLG!#REF!+#REF!+#REF!+#REF!+#REF!+#REF!+#REF!+#REF!+#REF!+#REF!+#REF!+#REF!+#REF!+#REF!+'18'!E71+#REF!+#REF!+#REF!+#REF!,'001'!E71+Рабочие!#REF!+#REF!+#REF!+SDLG!#REF!+#REF!+#REF!+#REF!+#REF!+#REF!+#REF!+#REF!+#REF!+#REF!+#REF!+#REF!+#REF!+#REF!+'18'!E71+#REF!+#REF!+#REF!+#REF!," ")</f>
        <v>#REF!</v>
      </c>
      <c r="F71" s="15" t="e">
        <f>IF('001'!F71+Рабочие!#REF!+#REF!+#REF!+SDLG!#REF!+#REF!+#REF!+#REF!+#REF!+#REF!+#REF!+#REF!+#REF!+#REF!+#REF!+#REF!+#REF!+#REF!+'18'!F71+#REF!+#REF!+#REF!+#REF!,'001'!F71+Рабочие!#REF!+#REF!+#REF!+SDLG!#REF!+#REF!+#REF!+#REF!+#REF!+#REF!+#REF!+#REF!+#REF!+#REF!+#REF!+#REF!+#REF!+#REF!+'18'!F71+#REF!+#REF!+#REF!+#REF!," ")</f>
        <v>#REF!</v>
      </c>
      <c r="G71" s="15" t="e">
        <f>IF('001'!G71+Рабочие!#REF!+#REF!+#REF!+SDLG!#REF!+#REF!+#REF!+#REF!+#REF!+#REF!+#REF!+#REF!+#REF!+#REF!+#REF!+#REF!+#REF!+#REF!+'18'!G71+#REF!+#REF!+#REF!+#REF!,'001'!G71+Рабочие!#REF!+#REF!+#REF!+SDLG!#REF!+#REF!+#REF!+#REF!+#REF!+#REF!+#REF!+#REF!+#REF!+#REF!+#REF!+#REF!+#REF!+#REF!+'18'!G71+#REF!+#REF!+#REF!+#REF!," ")</f>
        <v>#REF!</v>
      </c>
      <c r="H71" s="15" t="e">
        <f>IF('001'!H71+Рабочие!#REF!+#REF!+#REF!+SDLG!#REF!+#REF!+#REF!+#REF!+#REF!+#REF!+#REF!+#REF!+#REF!+#REF!+#REF!+#REF!+#REF!+#REF!+'18'!H71+#REF!+#REF!+#REF!+#REF!,'001'!H71+Рабочие!#REF!+#REF!+#REF!+SDLG!#REF!+#REF!+#REF!+#REF!+#REF!+#REF!+#REF!+#REF!+#REF!+#REF!+#REF!+#REF!+#REF!+#REF!+'18'!H71+#REF!+#REF!+#REF!+#REF!," ")</f>
        <v>#REF!</v>
      </c>
      <c r="I71" s="15" t="e">
        <f>IF('001'!I71+Рабочие!#REF!+#REF!+#REF!+SDLG!#REF!+#REF!+#REF!+#REF!+#REF!+#REF!+#REF!+#REF!+#REF!+#REF!+#REF!+#REF!+#REF!+#REF!+'18'!I71+#REF!+#REF!+#REF!+#REF!,'001'!I71+Рабочие!#REF!+#REF!+#REF!+SDLG!#REF!+#REF!+#REF!+#REF!+#REF!+#REF!+#REF!+#REF!+#REF!+#REF!+#REF!+#REF!+#REF!+#REF!+'18'!I71+#REF!+#REF!+#REF!+#REF!," ")</f>
        <v>#REF!</v>
      </c>
      <c r="J71" s="15" t="e">
        <f>IF('001'!J71+Рабочие!#REF!+#REF!+#REF!+SDLG!#REF!+#REF!+#REF!+#REF!+#REF!+#REF!+#REF!+#REF!+#REF!+#REF!+#REF!+#REF!+#REF!+#REF!+'18'!J71+#REF!+#REF!+#REF!+#REF!,'001'!J71+Рабочие!#REF!+#REF!+#REF!+SDLG!#REF!+#REF!+#REF!+#REF!+#REF!+#REF!+#REF!+#REF!+#REF!+#REF!+#REF!+#REF!+#REF!+#REF!+'18'!J71+#REF!+#REF!+#REF!+#REF!," ")</f>
        <v>#REF!</v>
      </c>
      <c r="K71" s="15" t="e">
        <f>IF('001'!K71+Рабочие!#REF!+#REF!+#REF!+SDLG!#REF!+#REF!+#REF!+#REF!+#REF!+#REF!+#REF!+#REF!+#REF!+#REF!+#REF!+#REF!+#REF!+#REF!+'18'!K71+#REF!+#REF!+#REF!+#REF!,'001'!K71+Рабочие!#REF!+#REF!+#REF!+SDLG!#REF!+#REF!+#REF!+#REF!+#REF!+#REF!+#REF!+#REF!+#REF!+#REF!+#REF!+#REF!+#REF!+#REF!+'18'!K71+#REF!+#REF!+#REF!+#REF!," ")</f>
        <v>#REF!</v>
      </c>
      <c r="L71" s="15" t="e">
        <f>IF('001'!L71+Рабочие!#REF!+#REF!+#REF!+SDLG!#REF!+#REF!+#REF!+#REF!+#REF!+#REF!+#REF!+#REF!+#REF!+#REF!+#REF!+#REF!+#REF!+#REF!+'18'!L71+#REF!+#REF!+#REF!+#REF!,'001'!L71+Рабочие!#REF!+#REF!+#REF!+SDLG!#REF!+#REF!+#REF!+#REF!+#REF!+#REF!+#REF!+#REF!+#REF!+#REF!+#REF!+#REF!+#REF!+#REF!+'18'!L71+#REF!+#REF!+#REF!+#REF!," ")</f>
        <v>#REF!</v>
      </c>
      <c r="M71" s="15" t="e">
        <f>IF('001'!M71+Рабочие!#REF!+#REF!+#REF!+SDLG!#REF!+#REF!+#REF!+#REF!+#REF!+#REF!+#REF!+#REF!+#REF!+#REF!+#REF!+#REF!+#REF!+#REF!+'18'!M71+#REF!+#REF!+#REF!+#REF!,'001'!M71+Рабочие!#REF!+#REF!+#REF!+SDLG!#REF!+#REF!+#REF!+#REF!+#REF!+#REF!+#REF!+#REF!+#REF!+#REF!+#REF!+#REF!+#REF!+#REF!+'18'!M71+#REF!+#REF!+#REF!+#REF!," ")</f>
        <v>#REF!</v>
      </c>
      <c r="N71" s="15" t="e">
        <f>IF('001'!N71+Рабочие!#REF!+#REF!+#REF!+SDLG!#REF!+#REF!+#REF!+#REF!+#REF!+#REF!+#REF!+#REF!+#REF!+#REF!+#REF!+#REF!+#REF!+#REF!+'18'!N71+#REF!+#REF!+#REF!+#REF!,'001'!N71+Рабочие!#REF!+#REF!+#REF!+SDLG!#REF!+#REF!+#REF!+#REF!+#REF!+#REF!+#REF!+#REF!+#REF!+#REF!+#REF!+#REF!+#REF!+#REF!+'18'!N71+#REF!+#REF!+#REF!+#REF!," ")</f>
        <v>#REF!</v>
      </c>
      <c r="O71" s="15" t="e">
        <f>IF('001'!O71+Рабочие!#REF!+#REF!+#REF!+SDLG!#REF!+#REF!+#REF!+#REF!+#REF!+#REF!+#REF!+#REF!+#REF!+#REF!+#REF!+#REF!+#REF!+#REF!+'18'!O71+#REF!+#REF!+#REF!+#REF!,'001'!O71+Рабочие!#REF!+#REF!+#REF!+SDLG!#REF!+#REF!+#REF!+#REF!+#REF!+#REF!+#REF!+#REF!+#REF!+#REF!+#REF!+#REF!+#REF!+#REF!+'18'!O71+#REF!+#REF!+#REF!+#REF!," ")</f>
        <v>#REF!</v>
      </c>
      <c r="P71" s="15" t="e">
        <f>IF('001'!P71+Рабочие!#REF!+#REF!+#REF!+SDLG!#REF!+#REF!+#REF!+#REF!+#REF!+#REF!+#REF!+#REF!+#REF!+#REF!+#REF!+#REF!+#REF!+#REF!+'18'!P71+#REF!+#REF!+#REF!+#REF!,'001'!P71+Рабочие!#REF!+#REF!+#REF!+SDLG!#REF!+#REF!+#REF!+#REF!+#REF!+#REF!+#REF!+#REF!+#REF!+#REF!+#REF!+#REF!+#REF!+#REF!+'18'!P71+#REF!+#REF!+#REF!+#REF!," ")</f>
        <v>#REF!</v>
      </c>
      <c r="Q71" s="15" t="e">
        <f>IF('001'!Q71+Рабочие!#REF!+#REF!+#REF!+SDLG!#REF!+#REF!+#REF!+#REF!+#REF!+#REF!+#REF!+#REF!+#REF!+#REF!+#REF!+#REF!+#REF!+#REF!+'18'!Q71+#REF!+#REF!+#REF!+#REF!,'001'!Q71+Рабочие!#REF!+#REF!+#REF!+SDLG!#REF!+#REF!+#REF!+#REF!+#REF!+#REF!+#REF!+#REF!+#REF!+#REF!+#REF!+#REF!+#REF!+#REF!+'18'!Q71+#REF!+#REF!+#REF!+#REF!," ")</f>
        <v>#REF!</v>
      </c>
      <c r="R71" s="15" t="e">
        <f>IF('001'!R71+Рабочие!#REF!+#REF!+#REF!+SDLG!#REF!+#REF!+#REF!+#REF!+#REF!+#REF!+#REF!+#REF!+#REF!+#REF!+#REF!+#REF!+#REF!+#REF!+'18'!R71+#REF!+#REF!+#REF!+#REF!,'001'!R71+Рабочие!#REF!+#REF!+#REF!+SDLG!#REF!+#REF!+#REF!+#REF!+#REF!+#REF!+#REF!+#REF!+#REF!+#REF!+#REF!+#REF!+#REF!+#REF!+'18'!R71+#REF!+#REF!+#REF!+#REF!," ")</f>
        <v>#REF!</v>
      </c>
      <c r="S71" s="15" t="e">
        <f>IF('001'!S71+Рабочие!#REF!+#REF!+#REF!+SDLG!#REF!+#REF!+#REF!+#REF!+#REF!+#REF!+#REF!+#REF!+#REF!+#REF!+#REF!+#REF!+#REF!+#REF!+'18'!S71+#REF!+#REF!+#REF!+#REF!,'001'!S71+Рабочие!#REF!+#REF!+#REF!+SDLG!#REF!+#REF!+#REF!+#REF!+#REF!+#REF!+#REF!+#REF!+#REF!+#REF!+#REF!+#REF!+#REF!+#REF!+'18'!S71+#REF!+#REF!+#REF!+#REF!," ")</f>
        <v>#REF!</v>
      </c>
      <c r="T71" s="70"/>
      <c r="U71" s="58"/>
      <c r="V71" s="58"/>
      <c r="W71" s="58"/>
      <c r="X71" s="58"/>
      <c r="Y71" s="116"/>
      <c r="Z71" s="58"/>
      <c r="AA71" s="58"/>
      <c r="AB71" s="58"/>
      <c r="AC71" s="58"/>
      <c r="AD71" s="58"/>
      <c r="AE71" s="58"/>
      <c r="AF71" s="58"/>
      <c r="AG71" s="114"/>
    </row>
    <row r="72" spans="1:33" x14ac:dyDescent="0.25">
      <c r="A72" s="57">
        <v>14</v>
      </c>
      <c r="B72" s="71"/>
      <c r="C72" s="63"/>
      <c r="D72" s="15" t="e">
        <f>IF('001'!D72+Рабочие!D59+#REF!+#REF!+SDLG!D38+#REF!+#REF!+#REF!+#REF!+#REF!+#REF!+#REF!+#REF!+#REF!+#REF!+#REF!+#REF!+#REF!+'18'!D72+#REF!+#REF!+#REF!+#REF!,'001'!D72+Рабочие!D59+#REF!+#REF!+SDLG!D38+#REF!+#REF!+#REF!+#REF!+#REF!+#REF!+#REF!+#REF!+#REF!+#REF!+#REF!+#REF!+#REF!+'18'!D72+#REF!+#REF!+#REF!+#REF!," ")</f>
        <v>#REF!</v>
      </c>
      <c r="E72" s="15" t="e">
        <f>IF('001'!E72+Рабочие!E59+#REF!+#REF!+SDLG!E38+#REF!+#REF!+#REF!+#REF!+#REF!+#REF!+#REF!+#REF!+#REF!+#REF!+#REF!+#REF!+#REF!+'18'!E72+#REF!+#REF!+#REF!+#REF!,'001'!E72+Рабочие!E59+#REF!+#REF!+SDLG!E38+#REF!+#REF!+#REF!+#REF!+#REF!+#REF!+#REF!+#REF!+#REF!+#REF!+#REF!+#REF!+#REF!+'18'!E72+#REF!+#REF!+#REF!+#REF!," ")</f>
        <v>#REF!</v>
      </c>
      <c r="F72" s="15" t="e">
        <f>IF('001'!F72+Рабочие!F59+#REF!+#REF!+SDLG!F38+#REF!+#REF!+#REF!+#REF!+#REF!+#REF!+#REF!+#REF!+#REF!+#REF!+#REF!+#REF!+#REF!+'18'!F72+#REF!+#REF!+#REF!+#REF!,'001'!F72+Рабочие!F59+#REF!+#REF!+SDLG!F38+#REF!+#REF!+#REF!+#REF!+#REF!+#REF!+#REF!+#REF!+#REF!+#REF!+#REF!+#REF!+#REF!+'18'!F72+#REF!+#REF!+#REF!+#REF!," ")</f>
        <v>#REF!</v>
      </c>
      <c r="G72" s="15" t="e">
        <f>IF('001'!G72+Рабочие!G59+#REF!+#REF!+SDLG!G38+#REF!+#REF!+#REF!+#REF!+#REF!+#REF!+#REF!+#REF!+#REF!+#REF!+#REF!+#REF!+#REF!+'18'!G72+#REF!+#REF!+#REF!+#REF!,'001'!G72+Рабочие!G59+#REF!+#REF!+SDLG!G38+#REF!+#REF!+#REF!+#REF!+#REF!+#REF!+#REF!+#REF!+#REF!+#REF!+#REF!+#REF!+#REF!+'18'!G72+#REF!+#REF!+#REF!+#REF!," ")</f>
        <v>#REF!</v>
      </c>
      <c r="H72" s="15" t="e">
        <f>IF('001'!H72+Рабочие!H59+#REF!+#REF!+SDLG!H38+#REF!+#REF!+#REF!+#REF!+#REF!+#REF!+#REF!+#REF!+#REF!+#REF!+#REF!+#REF!+#REF!+'18'!H72+#REF!+#REF!+#REF!+#REF!,'001'!H72+Рабочие!H59+#REF!+#REF!+SDLG!H38+#REF!+#REF!+#REF!+#REF!+#REF!+#REF!+#REF!+#REF!+#REF!+#REF!+#REF!+#REF!+#REF!+'18'!H72+#REF!+#REF!+#REF!+#REF!," ")</f>
        <v>#REF!</v>
      </c>
      <c r="I72" s="15" t="e">
        <f>IF('001'!I72+Рабочие!I59+#REF!+#REF!+SDLG!I38+#REF!+#REF!+#REF!+#REF!+#REF!+#REF!+#REF!+#REF!+#REF!+#REF!+#REF!+#REF!+#REF!+'18'!I72+#REF!+#REF!+#REF!+#REF!,'001'!I72+Рабочие!I59+#REF!+#REF!+SDLG!I38+#REF!+#REF!+#REF!+#REF!+#REF!+#REF!+#REF!+#REF!+#REF!+#REF!+#REF!+#REF!+#REF!+'18'!I72+#REF!+#REF!+#REF!+#REF!," ")</f>
        <v>#REF!</v>
      </c>
      <c r="J72" s="15" t="e">
        <f>IF('001'!J72+Рабочие!J59+#REF!+#REF!+SDLG!J38+#REF!+#REF!+#REF!+#REF!+#REF!+#REF!+#REF!+#REF!+#REF!+#REF!+#REF!+#REF!+#REF!+'18'!J72+#REF!+#REF!+#REF!+#REF!,'001'!J72+Рабочие!J59+#REF!+#REF!+SDLG!J38+#REF!+#REF!+#REF!+#REF!+#REF!+#REF!+#REF!+#REF!+#REF!+#REF!+#REF!+#REF!+#REF!+'18'!J72+#REF!+#REF!+#REF!+#REF!," ")</f>
        <v>#REF!</v>
      </c>
      <c r="K72" s="15" t="e">
        <f>IF('001'!K72+Рабочие!K59+#REF!+#REF!+SDLG!K38+#REF!+#REF!+#REF!+#REF!+#REF!+#REF!+#REF!+#REF!+#REF!+#REF!+#REF!+#REF!+#REF!+'18'!K72+#REF!+#REF!+#REF!+#REF!,'001'!K72+Рабочие!K59+#REF!+#REF!+SDLG!K38+#REF!+#REF!+#REF!+#REF!+#REF!+#REF!+#REF!+#REF!+#REF!+#REF!+#REF!+#REF!+#REF!+'18'!K72+#REF!+#REF!+#REF!+#REF!," ")</f>
        <v>#REF!</v>
      </c>
      <c r="L72" s="15" t="e">
        <f>IF('001'!L72+Рабочие!L59+#REF!+#REF!+SDLG!L38+#REF!+#REF!+#REF!+#REF!+#REF!+#REF!+#REF!+#REF!+#REF!+#REF!+#REF!+#REF!+#REF!+'18'!L72+#REF!+#REF!+#REF!+#REF!,'001'!L72+Рабочие!L59+#REF!+#REF!+SDLG!L38+#REF!+#REF!+#REF!+#REF!+#REF!+#REF!+#REF!+#REF!+#REF!+#REF!+#REF!+#REF!+#REF!+'18'!L72+#REF!+#REF!+#REF!+#REF!," ")</f>
        <v>#REF!</v>
      </c>
      <c r="M72" s="15" t="e">
        <f>IF('001'!M72+Рабочие!M59+#REF!+#REF!+SDLG!M38+#REF!+#REF!+#REF!+#REF!+#REF!+#REF!+#REF!+#REF!+#REF!+#REF!+#REF!+#REF!+#REF!+'18'!M72+#REF!+#REF!+#REF!+#REF!,'001'!M72+Рабочие!M59+#REF!+#REF!+SDLG!M38+#REF!+#REF!+#REF!+#REF!+#REF!+#REF!+#REF!+#REF!+#REF!+#REF!+#REF!+#REF!+#REF!+'18'!M72+#REF!+#REF!+#REF!+#REF!," ")</f>
        <v>#REF!</v>
      </c>
      <c r="N72" s="15" t="e">
        <f>IF('001'!N72+Рабочие!N59+#REF!+#REF!+SDLG!N38+#REF!+#REF!+#REF!+#REF!+#REF!+#REF!+#REF!+#REF!+#REF!+#REF!+#REF!+#REF!+#REF!+'18'!N72+#REF!+#REF!+#REF!+#REF!,'001'!N72+Рабочие!N59+#REF!+#REF!+SDLG!N38+#REF!+#REF!+#REF!+#REF!+#REF!+#REF!+#REF!+#REF!+#REF!+#REF!+#REF!+#REF!+#REF!+'18'!N72+#REF!+#REF!+#REF!+#REF!," ")</f>
        <v>#REF!</v>
      </c>
      <c r="O72" s="15" t="e">
        <f>IF('001'!O72+Рабочие!O59+#REF!+#REF!+SDLG!O38+#REF!+#REF!+#REF!+#REF!+#REF!+#REF!+#REF!+#REF!+#REF!+#REF!+#REF!+#REF!+#REF!+'18'!O72+#REF!+#REF!+#REF!+#REF!,'001'!O72+Рабочие!O59+#REF!+#REF!+SDLG!O38+#REF!+#REF!+#REF!+#REF!+#REF!+#REF!+#REF!+#REF!+#REF!+#REF!+#REF!+#REF!+#REF!+'18'!O72+#REF!+#REF!+#REF!+#REF!," ")</f>
        <v>#REF!</v>
      </c>
      <c r="P72" s="15" t="e">
        <f>IF('001'!P72+Рабочие!P59+#REF!+#REF!+SDLG!P38+#REF!+#REF!+#REF!+#REF!+#REF!+#REF!+#REF!+#REF!+#REF!+#REF!+#REF!+#REF!+#REF!+'18'!P72+#REF!+#REF!+#REF!+#REF!,'001'!P72+Рабочие!P59+#REF!+#REF!+SDLG!P38+#REF!+#REF!+#REF!+#REF!+#REF!+#REF!+#REF!+#REF!+#REF!+#REF!+#REF!+#REF!+#REF!+'18'!P72+#REF!+#REF!+#REF!+#REF!," ")</f>
        <v>#REF!</v>
      </c>
      <c r="Q72" s="15" t="e">
        <f>IF('001'!Q72+Рабочие!Q59+#REF!+#REF!+SDLG!Q38+#REF!+#REF!+#REF!+#REF!+#REF!+#REF!+#REF!+#REF!+#REF!+#REF!+#REF!+#REF!+#REF!+'18'!Q72+#REF!+#REF!+#REF!+#REF!,'001'!Q72+Рабочие!Q59+#REF!+#REF!+SDLG!Q38+#REF!+#REF!+#REF!+#REF!+#REF!+#REF!+#REF!+#REF!+#REF!+#REF!+#REF!+#REF!+#REF!+'18'!Q72+#REF!+#REF!+#REF!+#REF!," ")</f>
        <v>#REF!</v>
      </c>
      <c r="R72" s="15" t="e">
        <f>IF('001'!R72+Рабочие!R59+#REF!+#REF!+SDLG!R38+#REF!+#REF!+#REF!+#REF!+#REF!+#REF!+#REF!+#REF!+#REF!+#REF!+#REF!+#REF!+#REF!+'18'!R72+#REF!+#REF!+#REF!+#REF!,'001'!R72+Рабочие!R59+#REF!+#REF!+SDLG!R38+#REF!+#REF!+#REF!+#REF!+#REF!+#REF!+#REF!+#REF!+#REF!+#REF!+#REF!+#REF!+#REF!+'18'!R72+#REF!+#REF!+#REF!+#REF!," ")</f>
        <v>#REF!</v>
      </c>
      <c r="S72" s="15" t="e">
        <f>IF('001'!S72+Рабочие!S59+#REF!+#REF!+SDLG!S38+#REF!+#REF!+#REF!+#REF!+#REF!+#REF!+#REF!+#REF!+#REF!+#REF!+#REF!+#REF!+#REF!+'18'!S72+#REF!+#REF!+#REF!+#REF!,'001'!S72+Рабочие!S59+#REF!+#REF!+SDLG!S38+#REF!+#REF!+#REF!+#REF!+#REF!+#REF!+#REF!+#REF!+#REF!+#REF!+#REF!+#REF!+#REF!+'18'!S72+#REF!+#REF!+#REF!+#REF!," ")</f>
        <v>#REF!</v>
      </c>
      <c r="T72" s="69" t="e">
        <f>SUM(D72:S73)</f>
        <v>#REF!</v>
      </c>
      <c r="U72" s="57"/>
      <c r="V72" s="57"/>
      <c r="W72" s="57"/>
      <c r="X72" s="57"/>
      <c r="Y72" s="115" t="s">
        <v>75</v>
      </c>
      <c r="Z72" s="57"/>
      <c r="AA72" s="57"/>
      <c r="AB72" s="57"/>
      <c r="AC72" s="57"/>
      <c r="AD72" s="57"/>
      <c r="AE72" s="57"/>
      <c r="AF72" s="57"/>
      <c r="AG72" s="113" t="e">
        <f>AE107</f>
        <v>#REF!</v>
      </c>
    </row>
    <row r="73" spans="1:33" x14ac:dyDescent="0.25">
      <c r="A73" s="58"/>
      <c r="B73" s="72"/>
      <c r="C73" s="64"/>
      <c r="D73" s="15" t="e">
        <f>IF('001'!D73+Рабочие!D60+#REF!+#REF!+SDLG!D39+#REF!+#REF!+#REF!+#REF!+#REF!+#REF!+#REF!+#REF!+#REF!+#REF!+#REF!+#REF!+#REF!+'18'!D73+#REF!+#REF!+#REF!+#REF!,'001'!D73+Рабочие!D60+#REF!+#REF!+SDLG!D39+#REF!+#REF!+#REF!+#REF!+#REF!+#REF!+#REF!+#REF!+#REF!+#REF!+#REF!+#REF!+#REF!+'18'!D73+#REF!+#REF!+#REF!+#REF!," ")</f>
        <v>#REF!</v>
      </c>
      <c r="E73" s="15" t="e">
        <f>IF('001'!E73+Рабочие!E60+#REF!+#REF!+SDLG!E39+#REF!+#REF!+#REF!+#REF!+#REF!+#REF!+#REF!+#REF!+#REF!+#REF!+#REF!+#REF!+#REF!+'18'!E73+#REF!+#REF!+#REF!+#REF!,'001'!E73+Рабочие!E60+#REF!+#REF!+SDLG!E39+#REF!+#REF!+#REF!+#REF!+#REF!+#REF!+#REF!+#REF!+#REF!+#REF!+#REF!+#REF!+#REF!+'18'!E73+#REF!+#REF!+#REF!+#REF!," ")</f>
        <v>#REF!</v>
      </c>
      <c r="F73" s="15" t="e">
        <f>IF('001'!F73+Рабочие!F60+#REF!+#REF!+SDLG!F39+#REF!+#REF!+#REF!+#REF!+#REF!+#REF!+#REF!+#REF!+#REF!+#REF!+#REF!+#REF!+#REF!+'18'!F73+#REF!+#REF!+#REF!+#REF!,'001'!F73+Рабочие!F60+#REF!+#REF!+SDLG!F39+#REF!+#REF!+#REF!+#REF!+#REF!+#REF!+#REF!+#REF!+#REF!+#REF!+#REF!+#REF!+#REF!+'18'!F73+#REF!+#REF!+#REF!+#REF!," ")</f>
        <v>#REF!</v>
      </c>
      <c r="G73" s="15" t="e">
        <f>IF('001'!G73+Рабочие!G60+#REF!+#REF!+SDLG!G39+#REF!+#REF!+#REF!+#REF!+#REF!+#REF!+#REF!+#REF!+#REF!+#REF!+#REF!+#REF!+#REF!+'18'!G73+#REF!+#REF!+#REF!+#REF!,'001'!G73+Рабочие!G60+#REF!+#REF!+SDLG!G39+#REF!+#REF!+#REF!+#REF!+#REF!+#REF!+#REF!+#REF!+#REF!+#REF!+#REF!+#REF!+#REF!+'18'!G73+#REF!+#REF!+#REF!+#REF!," ")</f>
        <v>#REF!</v>
      </c>
      <c r="H73" s="15" t="e">
        <f>IF('001'!H73+Рабочие!H60+#REF!+#REF!+SDLG!H39+#REF!+#REF!+#REF!+#REF!+#REF!+#REF!+#REF!+#REF!+#REF!+#REF!+#REF!+#REF!+#REF!+'18'!H73+#REF!+#REF!+#REF!+#REF!,'001'!H73+Рабочие!H60+#REF!+#REF!+SDLG!H39+#REF!+#REF!+#REF!+#REF!+#REF!+#REF!+#REF!+#REF!+#REF!+#REF!+#REF!+#REF!+#REF!+'18'!H73+#REF!+#REF!+#REF!+#REF!," ")</f>
        <v>#REF!</v>
      </c>
      <c r="I73" s="15" t="e">
        <f>IF('001'!I73+Рабочие!I60+#REF!+#REF!+SDLG!I39+#REF!+#REF!+#REF!+#REF!+#REF!+#REF!+#REF!+#REF!+#REF!+#REF!+#REF!+#REF!+#REF!+'18'!I73+#REF!+#REF!+#REF!+#REF!,'001'!I73+Рабочие!I60+#REF!+#REF!+SDLG!I39+#REF!+#REF!+#REF!+#REF!+#REF!+#REF!+#REF!+#REF!+#REF!+#REF!+#REF!+#REF!+#REF!+'18'!I73+#REF!+#REF!+#REF!+#REF!," ")</f>
        <v>#REF!</v>
      </c>
      <c r="J73" s="15" t="e">
        <f>IF('001'!J73+Рабочие!J60+#REF!+#REF!+SDLG!J39+#REF!+#REF!+#REF!+#REF!+#REF!+#REF!+#REF!+#REF!+#REF!+#REF!+#REF!+#REF!+#REF!+'18'!J73+#REF!+#REF!+#REF!+#REF!,'001'!J73+Рабочие!J60+#REF!+#REF!+SDLG!J39+#REF!+#REF!+#REF!+#REF!+#REF!+#REF!+#REF!+#REF!+#REF!+#REF!+#REF!+#REF!+#REF!+'18'!J73+#REF!+#REF!+#REF!+#REF!," ")</f>
        <v>#REF!</v>
      </c>
      <c r="K73" s="15" t="e">
        <f>IF('001'!K73+Рабочие!K60+#REF!+#REF!+SDLG!K39+#REF!+#REF!+#REF!+#REF!+#REF!+#REF!+#REF!+#REF!+#REF!+#REF!+#REF!+#REF!+#REF!+'18'!K73+#REF!+#REF!+#REF!+#REF!,'001'!K73+Рабочие!K60+#REF!+#REF!+SDLG!K39+#REF!+#REF!+#REF!+#REF!+#REF!+#REF!+#REF!+#REF!+#REF!+#REF!+#REF!+#REF!+#REF!+'18'!K73+#REF!+#REF!+#REF!+#REF!," ")</f>
        <v>#REF!</v>
      </c>
      <c r="L73" s="15" t="e">
        <f>IF('001'!L73+Рабочие!L60+#REF!+#REF!+SDLG!L39+#REF!+#REF!+#REF!+#REF!+#REF!+#REF!+#REF!+#REF!+#REF!+#REF!+#REF!+#REF!+#REF!+'18'!L73+#REF!+#REF!+#REF!+#REF!,'001'!L73+Рабочие!L60+#REF!+#REF!+SDLG!L39+#REF!+#REF!+#REF!+#REF!+#REF!+#REF!+#REF!+#REF!+#REF!+#REF!+#REF!+#REF!+#REF!+'18'!L73+#REF!+#REF!+#REF!+#REF!," ")</f>
        <v>#REF!</v>
      </c>
      <c r="M73" s="15" t="e">
        <f>IF('001'!M73+Рабочие!M60+#REF!+#REF!+SDLG!M39+#REF!+#REF!+#REF!+#REF!+#REF!+#REF!+#REF!+#REF!+#REF!+#REF!+#REF!+#REF!+#REF!+'18'!M73+#REF!+#REF!+#REF!+#REF!,'001'!M73+Рабочие!M60+#REF!+#REF!+SDLG!M39+#REF!+#REF!+#REF!+#REF!+#REF!+#REF!+#REF!+#REF!+#REF!+#REF!+#REF!+#REF!+#REF!+'18'!M73+#REF!+#REF!+#REF!+#REF!," ")</f>
        <v>#REF!</v>
      </c>
      <c r="N73" s="15" t="e">
        <f>IF('001'!N73+Рабочие!N60+#REF!+#REF!+SDLG!N39+#REF!+#REF!+#REF!+#REF!+#REF!+#REF!+#REF!+#REF!+#REF!+#REF!+#REF!+#REF!+#REF!+'18'!N73+#REF!+#REF!+#REF!+#REF!,'001'!N73+Рабочие!N60+#REF!+#REF!+SDLG!N39+#REF!+#REF!+#REF!+#REF!+#REF!+#REF!+#REF!+#REF!+#REF!+#REF!+#REF!+#REF!+#REF!+'18'!N73+#REF!+#REF!+#REF!+#REF!," ")</f>
        <v>#REF!</v>
      </c>
      <c r="O73" s="15" t="e">
        <f>IF('001'!O73+Рабочие!O60+#REF!+#REF!+SDLG!O39+#REF!+#REF!+#REF!+#REF!+#REF!+#REF!+#REF!+#REF!+#REF!+#REF!+#REF!+#REF!+#REF!+'18'!O73+#REF!+#REF!+#REF!+#REF!,'001'!O73+Рабочие!O60+#REF!+#REF!+SDLG!O39+#REF!+#REF!+#REF!+#REF!+#REF!+#REF!+#REF!+#REF!+#REF!+#REF!+#REF!+#REF!+#REF!+'18'!O73+#REF!+#REF!+#REF!+#REF!," ")</f>
        <v>#REF!</v>
      </c>
      <c r="P73" s="15" t="e">
        <f>IF('001'!P73+Рабочие!P60+#REF!+#REF!+SDLG!P39+#REF!+#REF!+#REF!+#REF!+#REF!+#REF!+#REF!+#REF!+#REF!+#REF!+#REF!+#REF!+#REF!+'18'!P73+#REF!+#REF!+#REF!+#REF!,'001'!P73+Рабочие!P60+#REF!+#REF!+SDLG!P39+#REF!+#REF!+#REF!+#REF!+#REF!+#REF!+#REF!+#REF!+#REF!+#REF!+#REF!+#REF!+#REF!+'18'!P73+#REF!+#REF!+#REF!+#REF!," ")</f>
        <v>#REF!</v>
      </c>
      <c r="Q73" s="15" t="e">
        <f>IF('001'!Q73+Рабочие!Q60+#REF!+#REF!+SDLG!Q39+#REF!+#REF!+#REF!+#REF!+#REF!+#REF!+#REF!+#REF!+#REF!+#REF!+#REF!+#REF!+#REF!+'18'!Q73+#REF!+#REF!+#REF!+#REF!,'001'!Q73+Рабочие!Q60+#REF!+#REF!+SDLG!Q39+#REF!+#REF!+#REF!+#REF!+#REF!+#REF!+#REF!+#REF!+#REF!+#REF!+#REF!+#REF!+#REF!+'18'!Q73+#REF!+#REF!+#REF!+#REF!," ")</f>
        <v>#REF!</v>
      </c>
      <c r="R73" s="15" t="e">
        <f>IF('001'!R73+Рабочие!R60+#REF!+#REF!+SDLG!R39+#REF!+#REF!+#REF!+#REF!+#REF!+#REF!+#REF!+#REF!+#REF!+#REF!+#REF!+#REF!+#REF!+'18'!R73+#REF!+#REF!+#REF!+#REF!,'001'!R73+Рабочие!R60+#REF!+#REF!+SDLG!R39+#REF!+#REF!+#REF!+#REF!+#REF!+#REF!+#REF!+#REF!+#REF!+#REF!+#REF!+#REF!+#REF!+'18'!R73+#REF!+#REF!+#REF!+#REF!," ")</f>
        <v>#REF!</v>
      </c>
      <c r="S73" s="15" t="e">
        <f>IF('001'!S73+Рабочие!S60+#REF!+#REF!+SDLG!S39+#REF!+#REF!+#REF!+#REF!+#REF!+#REF!+#REF!+#REF!+#REF!+#REF!+#REF!+#REF!+#REF!+'18'!S73+#REF!+#REF!+#REF!+#REF!,'001'!S73+Рабочие!S60+#REF!+#REF!+SDLG!S39+#REF!+#REF!+#REF!+#REF!+#REF!+#REF!+#REF!+#REF!+#REF!+#REF!+#REF!+#REF!+#REF!+'18'!S73+#REF!+#REF!+#REF!+#REF!," ")</f>
        <v>#REF!</v>
      </c>
      <c r="T73" s="70"/>
      <c r="U73" s="58"/>
      <c r="V73" s="58"/>
      <c r="W73" s="58"/>
      <c r="X73" s="58"/>
      <c r="Y73" s="116"/>
      <c r="Z73" s="58"/>
      <c r="AA73" s="58"/>
      <c r="AB73" s="58"/>
      <c r="AC73" s="58"/>
      <c r="AD73" s="58"/>
      <c r="AE73" s="58"/>
      <c r="AF73" s="58"/>
      <c r="AG73" s="114"/>
    </row>
    <row r="74" spans="1:33" ht="12.75" customHeight="1" x14ac:dyDescent="0.25">
      <c r="Q74" s="151" t="s">
        <v>28</v>
      </c>
      <c r="R74" s="151"/>
      <c r="S74" s="152"/>
      <c r="T74" s="16" t="e">
        <f>SUM(T46:T73)</f>
        <v>#REF!</v>
      </c>
      <c r="U74" s="5"/>
      <c r="V74" s="5"/>
      <c r="W74" s="5"/>
      <c r="X74" s="5"/>
      <c r="Y74" s="17">
        <f>SUM(Y46:Y73)</f>
        <v>0</v>
      </c>
      <c r="Z74" s="5"/>
      <c r="AA74" s="5"/>
      <c r="AB74" s="5"/>
      <c r="AC74" s="5"/>
      <c r="AD74" s="5"/>
      <c r="AE74" s="5"/>
      <c r="AF74" s="5"/>
      <c r="AG74" s="23" t="e">
        <f>SUM(AG46:AG73)</f>
        <v>#REF!</v>
      </c>
    </row>
    <row r="75" spans="1:33" ht="12.75" customHeight="1" x14ac:dyDescent="0.25">
      <c r="Q75" s="18"/>
      <c r="R75" s="18"/>
      <c r="S75" s="18"/>
      <c r="T75" s="19"/>
      <c r="U75" s="19"/>
      <c r="V75" s="19"/>
      <c r="W75" s="19"/>
      <c r="X75" s="19"/>
      <c r="Y75" s="20"/>
      <c r="Z75" s="19"/>
      <c r="AA75" s="19"/>
      <c r="AB75" s="19"/>
      <c r="AC75" s="19"/>
      <c r="AD75" s="19"/>
      <c r="AE75" s="19"/>
      <c r="AF75" s="19"/>
      <c r="AG75" s="19"/>
    </row>
    <row r="76" spans="1:33" x14ac:dyDescent="0.25">
      <c r="B76" s="47" t="s">
        <v>29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T76" s="46" t="s">
        <v>161</v>
      </c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</row>
    <row r="77" spans="1:33" ht="24" customHeight="1" x14ac:dyDescent="0.25">
      <c r="B77" s="204" t="s">
        <v>30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T77" s="204" t="s">
        <v>68</v>
      </c>
      <c r="U77" s="204"/>
      <c r="V77" s="204"/>
      <c r="W77" s="204"/>
      <c r="X77" s="204"/>
      <c r="Y77" s="205" t="s">
        <v>85</v>
      </c>
      <c r="Z77" s="205"/>
      <c r="AA77" s="205"/>
      <c r="AB77" s="205"/>
      <c r="AC77" s="205"/>
      <c r="AD77" s="205"/>
      <c r="AE77" s="205"/>
      <c r="AF77" s="205"/>
      <c r="AG77" s="205"/>
    </row>
    <row r="78" spans="1:33" x14ac:dyDescent="0.25">
      <c r="B78" s="46" t="s">
        <v>31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33" x14ac:dyDescent="0.25">
      <c r="B79" s="46" t="s">
        <v>88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T79" s="46" t="s">
        <v>32</v>
      </c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spans="1:33" x14ac:dyDescent="0.25">
      <c r="T80" s="47" t="s">
        <v>33</v>
      </c>
      <c r="U80" s="47"/>
      <c r="V80" s="47"/>
      <c r="W80" s="47"/>
      <c r="X80" s="47"/>
      <c r="Y80" s="47"/>
      <c r="Z80" s="42" t="s">
        <v>162</v>
      </c>
      <c r="AA80" s="42"/>
      <c r="AB80" s="42"/>
      <c r="AC80" s="42"/>
      <c r="AD80" s="42"/>
      <c r="AE80" s="42"/>
      <c r="AF80" s="42"/>
      <c r="AG80" s="42"/>
    </row>
    <row r="81" spans="1:33" x14ac:dyDescent="0.25">
      <c r="C81" s="59" t="s">
        <v>83</v>
      </c>
      <c r="D81" s="59"/>
      <c r="E81" s="59"/>
      <c r="F81" s="59"/>
      <c r="G81" s="59"/>
      <c r="H81" s="59"/>
      <c r="I81" s="59"/>
      <c r="J81" s="59"/>
      <c r="K81" s="59"/>
      <c r="L81" s="56">
        <f>Q4</f>
        <v>2025</v>
      </c>
      <c r="M81" s="56"/>
      <c r="N81" s="4" t="s">
        <v>76</v>
      </c>
      <c r="Z81" s="42" t="s">
        <v>163</v>
      </c>
      <c r="AA81" s="42"/>
      <c r="AB81" s="42"/>
      <c r="AC81" s="42"/>
      <c r="AD81" s="42"/>
      <c r="AE81" s="42"/>
      <c r="AF81" s="42"/>
      <c r="AG81" s="42"/>
    </row>
    <row r="82" spans="1:33" x14ac:dyDescent="0.25">
      <c r="X82" s="46" t="s">
        <v>84</v>
      </c>
      <c r="Y82" s="46"/>
      <c r="Z82" s="46"/>
      <c r="AA82" s="46"/>
      <c r="AB82" s="46"/>
      <c r="AC82" s="46"/>
      <c r="AD82" s="46"/>
      <c r="AE82" s="9">
        <f>Q4</f>
        <v>2025</v>
      </c>
      <c r="AF82" s="9" t="s">
        <v>76</v>
      </c>
    </row>
    <row r="84" spans="1:33" x14ac:dyDescent="0.25">
      <c r="I84" s="56" t="s">
        <v>57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</row>
    <row r="86" spans="1:33" ht="13" x14ac:dyDescent="0.3">
      <c r="D86" s="56" t="s">
        <v>58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33" ht="13" x14ac:dyDescent="0.3">
      <c r="I87" s="206" t="s">
        <v>71</v>
      </c>
      <c r="J87" s="206"/>
      <c r="K87" s="206"/>
      <c r="L87" s="126" t="str">
        <f>I4</f>
        <v>Июль</v>
      </c>
      <c r="M87" s="126"/>
      <c r="N87" s="126"/>
      <c r="O87" s="126"/>
      <c r="P87" s="126"/>
      <c r="Q87" s="126"/>
      <c r="R87" s="126"/>
      <c r="S87" s="149">
        <f>Q4</f>
        <v>2025</v>
      </c>
      <c r="T87" s="149"/>
      <c r="U87" s="149"/>
      <c r="V87" s="4" t="s">
        <v>76</v>
      </c>
    </row>
    <row r="88" spans="1:33" x14ac:dyDescent="0.25">
      <c r="L88" s="2"/>
    </row>
    <row r="89" spans="1:33" x14ac:dyDescent="0.25">
      <c r="A89" s="59" t="str">
        <f>A5</f>
        <v>Объект: Содержание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</row>
    <row r="91" spans="1:33" x14ac:dyDescent="0.25">
      <c r="A91" s="110" t="s">
        <v>59</v>
      </c>
      <c r="B91" s="92" t="s">
        <v>26</v>
      </c>
      <c r="C91" s="93"/>
      <c r="D91" s="93"/>
      <c r="E91" s="93"/>
      <c r="F91" s="93"/>
      <c r="G91" s="93"/>
      <c r="H91" s="94"/>
      <c r="I91" s="92" t="s">
        <v>60</v>
      </c>
      <c r="J91" s="93"/>
      <c r="K91" s="94"/>
      <c r="L91" s="101" t="s">
        <v>61</v>
      </c>
      <c r="M91" s="102"/>
      <c r="N91" s="102"/>
      <c r="O91" s="103"/>
      <c r="P91" s="101" t="s">
        <v>62</v>
      </c>
      <c r="Q91" s="102"/>
      <c r="R91" s="102"/>
      <c r="S91" s="103"/>
      <c r="T91" s="101" t="s">
        <v>63</v>
      </c>
      <c r="U91" s="102"/>
      <c r="V91" s="103"/>
      <c r="W91" s="101" t="s">
        <v>64</v>
      </c>
      <c r="X91" s="102"/>
      <c r="Y91" s="102"/>
      <c r="Z91" s="103"/>
      <c r="AA91" s="92" t="s">
        <v>87</v>
      </c>
      <c r="AB91" s="93"/>
      <c r="AC91" s="93"/>
      <c r="AD91" s="94"/>
      <c r="AE91" s="101" t="s">
        <v>65</v>
      </c>
      <c r="AF91" s="102"/>
      <c r="AG91" s="103"/>
    </row>
    <row r="92" spans="1:33" x14ac:dyDescent="0.25">
      <c r="A92" s="111"/>
      <c r="B92" s="95"/>
      <c r="C92" s="96"/>
      <c r="D92" s="96"/>
      <c r="E92" s="96"/>
      <c r="F92" s="96"/>
      <c r="G92" s="96"/>
      <c r="H92" s="97"/>
      <c r="I92" s="95"/>
      <c r="J92" s="96"/>
      <c r="K92" s="97"/>
      <c r="L92" s="104"/>
      <c r="M92" s="105"/>
      <c r="N92" s="105"/>
      <c r="O92" s="106"/>
      <c r="P92" s="104"/>
      <c r="Q92" s="105"/>
      <c r="R92" s="105"/>
      <c r="S92" s="106"/>
      <c r="T92" s="104"/>
      <c r="U92" s="105"/>
      <c r="V92" s="106"/>
      <c r="W92" s="104"/>
      <c r="X92" s="105"/>
      <c r="Y92" s="105"/>
      <c r="Z92" s="106"/>
      <c r="AA92" s="95"/>
      <c r="AB92" s="96"/>
      <c r="AC92" s="96"/>
      <c r="AD92" s="97"/>
      <c r="AE92" s="104"/>
      <c r="AF92" s="105"/>
      <c r="AG92" s="106"/>
    </row>
    <row r="93" spans="1:33" x14ac:dyDescent="0.25">
      <c r="A93" s="112"/>
      <c r="B93" s="98"/>
      <c r="C93" s="99"/>
      <c r="D93" s="99"/>
      <c r="E93" s="99"/>
      <c r="F93" s="99"/>
      <c r="G93" s="99"/>
      <c r="H93" s="100"/>
      <c r="I93" s="98"/>
      <c r="J93" s="99"/>
      <c r="K93" s="100"/>
      <c r="L93" s="107"/>
      <c r="M93" s="108"/>
      <c r="N93" s="108"/>
      <c r="O93" s="109"/>
      <c r="P93" s="107"/>
      <c r="Q93" s="108"/>
      <c r="R93" s="108"/>
      <c r="S93" s="109"/>
      <c r="T93" s="107"/>
      <c r="U93" s="108"/>
      <c r="V93" s="109"/>
      <c r="W93" s="107"/>
      <c r="X93" s="108"/>
      <c r="Y93" s="108"/>
      <c r="Z93" s="109"/>
      <c r="AA93" s="98"/>
      <c r="AB93" s="99"/>
      <c r="AC93" s="99"/>
      <c r="AD93" s="100"/>
      <c r="AE93" s="107"/>
      <c r="AF93" s="108"/>
      <c r="AG93" s="109"/>
    </row>
    <row r="94" spans="1:33" ht="21.75" customHeight="1" x14ac:dyDescent="0.25">
      <c r="A94" s="5">
        <v>1</v>
      </c>
      <c r="B94" s="73" t="str">
        <f>B46</f>
        <v>Федюк В. В</v>
      </c>
      <c r="C94" s="74"/>
      <c r="D94" s="74"/>
      <c r="E94" s="74"/>
      <c r="F94" s="74"/>
      <c r="G94" s="74"/>
      <c r="H94" s="75"/>
      <c r="I94" s="43">
        <f>C46</f>
        <v>6</v>
      </c>
      <c r="J94" s="44"/>
      <c r="K94" s="45"/>
      <c r="L94" s="89">
        <v>1.88</v>
      </c>
      <c r="M94" s="90"/>
      <c r="N94" s="90"/>
      <c r="O94" s="91"/>
      <c r="P94" s="43" t="str">
        <f>Y46</f>
        <v xml:space="preserve"> </v>
      </c>
      <c r="Q94" s="44"/>
      <c r="R94" s="44"/>
      <c r="S94" s="45"/>
      <c r="T94" s="43" t="e">
        <f>T46</f>
        <v>#REF!</v>
      </c>
      <c r="U94" s="44"/>
      <c r="V94" s="45"/>
      <c r="W94" s="76" t="e">
        <f t="shared" ref="W94:W107" si="6">L94*T94</f>
        <v>#REF!</v>
      </c>
      <c r="X94" s="77"/>
      <c r="Y94" s="77"/>
      <c r="Z94" s="78"/>
      <c r="AA94" s="43" t="e">
        <f>IF(W108=0,0,AE109/W108)</f>
        <v>#REF!</v>
      </c>
      <c r="AB94" s="44"/>
      <c r="AC94" s="44"/>
      <c r="AD94" s="45"/>
      <c r="AE94" s="76" t="e">
        <f t="shared" ref="AE94:AE107" si="7">ROUND(W94*AA94,2)</f>
        <v>#REF!</v>
      </c>
      <c r="AF94" s="77"/>
      <c r="AG94" s="78"/>
    </row>
    <row r="95" spans="1:33" ht="22.5" customHeight="1" x14ac:dyDescent="0.25">
      <c r="A95" s="5">
        <v>2</v>
      </c>
      <c r="B95" s="73" t="str">
        <f>B48</f>
        <v>Лисай И. М.</v>
      </c>
      <c r="C95" s="74"/>
      <c r="D95" s="74"/>
      <c r="E95" s="74"/>
      <c r="F95" s="74"/>
      <c r="G95" s="74"/>
      <c r="H95" s="75"/>
      <c r="I95" s="43">
        <f>C48</f>
        <v>6</v>
      </c>
      <c r="J95" s="44"/>
      <c r="K95" s="45"/>
      <c r="L95" s="89">
        <v>1.88</v>
      </c>
      <c r="M95" s="90"/>
      <c r="N95" s="90"/>
      <c r="O95" s="91"/>
      <c r="P95" s="43" t="str">
        <f>Y48</f>
        <v xml:space="preserve"> </v>
      </c>
      <c r="Q95" s="44"/>
      <c r="R95" s="44"/>
      <c r="S95" s="45"/>
      <c r="T95" s="43" t="e">
        <f>T48</f>
        <v>#REF!</v>
      </c>
      <c r="U95" s="44"/>
      <c r="V95" s="45"/>
      <c r="W95" s="76" t="e">
        <f t="shared" si="6"/>
        <v>#REF!</v>
      </c>
      <c r="X95" s="77"/>
      <c r="Y95" s="77"/>
      <c r="Z95" s="78"/>
      <c r="AA95" s="43" t="e">
        <f>IF(W108=0,0,AE109/W108)</f>
        <v>#REF!</v>
      </c>
      <c r="AB95" s="44"/>
      <c r="AC95" s="44"/>
      <c r="AD95" s="45"/>
      <c r="AE95" s="76" t="e">
        <f t="shared" si="7"/>
        <v>#REF!</v>
      </c>
      <c r="AF95" s="77"/>
      <c r="AG95" s="78"/>
    </row>
    <row r="96" spans="1:33" ht="22.5" customHeight="1" x14ac:dyDescent="0.25">
      <c r="A96" s="5">
        <v>3</v>
      </c>
      <c r="B96" s="73" t="str">
        <f>B50</f>
        <v>Хилимончик Н. В.</v>
      </c>
      <c r="C96" s="74"/>
      <c r="D96" s="74"/>
      <c r="E96" s="74"/>
      <c r="F96" s="74"/>
      <c r="G96" s="74"/>
      <c r="H96" s="75"/>
      <c r="I96" s="43">
        <f>C50</f>
        <v>6</v>
      </c>
      <c r="J96" s="44"/>
      <c r="K96" s="45"/>
      <c r="L96" s="89">
        <v>1.88</v>
      </c>
      <c r="M96" s="90"/>
      <c r="N96" s="90"/>
      <c r="O96" s="91"/>
      <c r="P96" s="43" t="str">
        <f>Y50</f>
        <v xml:space="preserve"> </v>
      </c>
      <c r="Q96" s="44"/>
      <c r="R96" s="44"/>
      <c r="S96" s="45"/>
      <c r="T96" s="43" t="e">
        <f>T50</f>
        <v>#REF!</v>
      </c>
      <c r="U96" s="44"/>
      <c r="V96" s="45"/>
      <c r="W96" s="76" t="e">
        <f t="shared" si="6"/>
        <v>#REF!</v>
      </c>
      <c r="X96" s="77"/>
      <c r="Y96" s="77"/>
      <c r="Z96" s="78"/>
      <c r="AA96" s="43" t="e">
        <f>IF(W108=0,0,AE109/W108)</f>
        <v>#REF!</v>
      </c>
      <c r="AB96" s="44"/>
      <c r="AC96" s="44"/>
      <c r="AD96" s="45"/>
      <c r="AE96" s="76" t="e">
        <f t="shared" si="7"/>
        <v>#REF!</v>
      </c>
      <c r="AF96" s="77"/>
      <c r="AG96" s="78"/>
    </row>
    <row r="97" spans="1:33" ht="22.5" customHeight="1" x14ac:dyDescent="0.25">
      <c r="A97" s="5">
        <v>4</v>
      </c>
      <c r="B97" s="73" t="str">
        <f>B52</f>
        <v>Сильванович А. С.</v>
      </c>
      <c r="C97" s="74"/>
      <c r="D97" s="74"/>
      <c r="E97" s="74"/>
      <c r="F97" s="74"/>
      <c r="G97" s="74"/>
      <c r="H97" s="75"/>
      <c r="I97" s="43">
        <f>C52</f>
        <v>5</v>
      </c>
      <c r="J97" s="44"/>
      <c r="K97" s="45"/>
      <c r="L97" s="89">
        <v>1.71</v>
      </c>
      <c r="M97" s="90"/>
      <c r="N97" s="90"/>
      <c r="O97" s="91"/>
      <c r="P97" s="43" t="str">
        <f>Y52</f>
        <v xml:space="preserve"> </v>
      </c>
      <c r="Q97" s="44"/>
      <c r="R97" s="44"/>
      <c r="S97" s="45"/>
      <c r="T97" s="43" t="e">
        <f>T52</f>
        <v>#REF!</v>
      </c>
      <c r="U97" s="44"/>
      <c r="V97" s="45"/>
      <c r="W97" s="76" t="e">
        <f>L97*T97</f>
        <v>#REF!</v>
      </c>
      <c r="X97" s="77"/>
      <c r="Y97" s="77"/>
      <c r="Z97" s="78"/>
      <c r="AA97" s="43" t="e">
        <f>IF(W108=0,0,AE109/W108)</f>
        <v>#REF!</v>
      </c>
      <c r="AB97" s="44"/>
      <c r="AC97" s="44"/>
      <c r="AD97" s="45"/>
      <c r="AE97" s="76" t="e">
        <f t="shared" si="7"/>
        <v>#REF!</v>
      </c>
      <c r="AF97" s="77"/>
      <c r="AG97" s="78"/>
    </row>
    <row r="98" spans="1:33" ht="22.5" customHeight="1" x14ac:dyDescent="0.25">
      <c r="A98" s="5">
        <v>5</v>
      </c>
      <c r="B98" s="73" t="str">
        <f>B54</f>
        <v>Масюкевич Ю В.</v>
      </c>
      <c r="C98" s="74"/>
      <c r="D98" s="74"/>
      <c r="E98" s="74"/>
      <c r="F98" s="74"/>
      <c r="G98" s="74"/>
      <c r="H98" s="75"/>
      <c r="I98" s="43">
        <v>5</v>
      </c>
      <c r="J98" s="44"/>
      <c r="K98" s="45"/>
      <c r="L98" s="89">
        <v>1.71</v>
      </c>
      <c r="M98" s="90"/>
      <c r="N98" s="90"/>
      <c r="O98" s="91"/>
      <c r="P98" s="43" t="str">
        <f>Y54</f>
        <v xml:space="preserve"> </v>
      </c>
      <c r="Q98" s="44"/>
      <c r="R98" s="44"/>
      <c r="S98" s="45"/>
      <c r="T98" s="43" t="e">
        <f>T54</f>
        <v>#REF!</v>
      </c>
      <c r="U98" s="44"/>
      <c r="V98" s="45"/>
      <c r="W98" s="76" t="e">
        <f t="shared" si="6"/>
        <v>#REF!</v>
      </c>
      <c r="X98" s="77"/>
      <c r="Y98" s="77"/>
      <c r="Z98" s="78"/>
      <c r="AA98" s="43" t="e">
        <f>IF(W108=0,0,AE109/W108)</f>
        <v>#REF!</v>
      </c>
      <c r="AB98" s="44"/>
      <c r="AC98" s="44"/>
      <c r="AD98" s="45"/>
      <c r="AE98" s="76" t="e">
        <f t="shared" si="7"/>
        <v>#REF!</v>
      </c>
      <c r="AF98" s="77"/>
      <c r="AG98" s="78"/>
    </row>
    <row r="99" spans="1:33" ht="22.5" customHeight="1" x14ac:dyDescent="0.25">
      <c r="A99" s="5">
        <v>6</v>
      </c>
      <c r="B99" s="73" t="str">
        <f>B56</f>
        <v>Сидорович А. П.</v>
      </c>
      <c r="C99" s="74"/>
      <c r="D99" s="74"/>
      <c r="E99" s="74"/>
      <c r="F99" s="74"/>
      <c r="G99" s="74"/>
      <c r="H99" s="75"/>
      <c r="I99" s="43">
        <f>C56</f>
        <v>4</v>
      </c>
      <c r="J99" s="44"/>
      <c r="K99" s="45"/>
      <c r="L99" s="89">
        <v>1.55</v>
      </c>
      <c r="M99" s="90"/>
      <c r="N99" s="90"/>
      <c r="O99" s="91"/>
      <c r="P99" s="43" t="str">
        <f>Y56</f>
        <v xml:space="preserve"> </v>
      </c>
      <c r="Q99" s="44"/>
      <c r="R99" s="44"/>
      <c r="S99" s="45"/>
      <c r="T99" s="43" t="e">
        <f>T56</f>
        <v>#REF!</v>
      </c>
      <c r="U99" s="44"/>
      <c r="V99" s="45"/>
      <c r="W99" s="76" t="e">
        <f t="shared" si="6"/>
        <v>#REF!</v>
      </c>
      <c r="X99" s="77"/>
      <c r="Y99" s="77"/>
      <c r="Z99" s="78"/>
      <c r="AA99" s="43" t="e">
        <f>IF(W108=0,0,AE109/W108)</f>
        <v>#REF!</v>
      </c>
      <c r="AB99" s="44"/>
      <c r="AC99" s="44"/>
      <c r="AD99" s="45"/>
      <c r="AE99" s="76" t="e">
        <f t="shared" si="7"/>
        <v>#REF!</v>
      </c>
      <c r="AF99" s="77"/>
      <c r="AG99" s="78"/>
    </row>
    <row r="100" spans="1:33" ht="22.5" customHeight="1" x14ac:dyDescent="0.25">
      <c r="A100" s="5">
        <v>7</v>
      </c>
      <c r="B100" s="73" t="str">
        <f>B58</f>
        <v>Яхимчик И. Е.</v>
      </c>
      <c r="C100" s="74"/>
      <c r="D100" s="74"/>
      <c r="E100" s="74"/>
      <c r="F100" s="74"/>
      <c r="G100" s="74"/>
      <c r="H100" s="75"/>
      <c r="I100" s="43">
        <f>C58</f>
        <v>4</v>
      </c>
      <c r="J100" s="44"/>
      <c r="K100" s="45"/>
      <c r="L100" s="89">
        <v>1.55</v>
      </c>
      <c r="M100" s="90"/>
      <c r="N100" s="90"/>
      <c r="O100" s="91"/>
      <c r="P100" s="43" t="str">
        <f>Y58</f>
        <v xml:space="preserve"> </v>
      </c>
      <c r="Q100" s="44"/>
      <c r="R100" s="44"/>
      <c r="S100" s="45"/>
      <c r="T100" s="43" t="e">
        <f>T58</f>
        <v>#REF!</v>
      </c>
      <c r="U100" s="44"/>
      <c r="V100" s="45"/>
      <c r="W100" s="76" t="e">
        <f t="shared" si="6"/>
        <v>#REF!</v>
      </c>
      <c r="X100" s="77"/>
      <c r="Y100" s="77"/>
      <c r="Z100" s="78"/>
      <c r="AA100" s="43" t="e">
        <f>IF(W108=0,0,AE109/W108)</f>
        <v>#REF!</v>
      </c>
      <c r="AB100" s="44"/>
      <c r="AC100" s="44"/>
      <c r="AD100" s="45"/>
      <c r="AE100" s="76" t="e">
        <f t="shared" si="7"/>
        <v>#REF!</v>
      </c>
      <c r="AF100" s="77"/>
      <c r="AG100" s="78"/>
    </row>
    <row r="101" spans="1:33" ht="21.75" customHeight="1" x14ac:dyDescent="0.25">
      <c r="A101" s="5">
        <v>8</v>
      </c>
      <c r="B101" s="73" t="str">
        <f>B60</f>
        <v>Федюк В. В</v>
      </c>
      <c r="C101" s="74"/>
      <c r="D101" s="74"/>
      <c r="E101" s="74"/>
      <c r="F101" s="74"/>
      <c r="G101" s="74"/>
      <c r="H101" s="75"/>
      <c r="I101" s="43">
        <f>C60</f>
        <v>4</v>
      </c>
      <c r="J101" s="44"/>
      <c r="K101" s="45"/>
      <c r="L101" s="89">
        <v>1.55</v>
      </c>
      <c r="M101" s="90"/>
      <c r="N101" s="90"/>
      <c r="O101" s="91"/>
      <c r="P101" s="43" t="str">
        <f>Y60</f>
        <v xml:space="preserve"> </v>
      </c>
      <c r="Q101" s="44"/>
      <c r="R101" s="44"/>
      <c r="S101" s="45"/>
      <c r="T101" s="43" t="e">
        <f>T60</f>
        <v>#REF!</v>
      </c>
      <c r="U101" s="44"/>
      <c r="V101" s="45"/>
      <c r="W101" s="76" t="e">
        <f t="shared" si="6"/>
        <v>#REF!</v>
      </c>
      <c r="X101" s="77"/>
      <c r="Y101" s="77"/>
      <c r="Z101" s="78"/>
      <c r="AA101" s="43" t="e">
        <f>IF(W108=0,0,AE109/W108)</f>
        <v>#REF!</v>
      </c>
      <c r="AB101" s="44"/>
      <c r="AC101" s="44"/>
      <c r="AD101" s="45"/>
      <c r="AE101" s="76" t="e">
        <f t="shared" si="7"/>
        <v>#REF!</v>
      </c>
      <c r="AF101" s="77"/>
      <c r="AG101" s="78"/>
    </row>
    <row r="102" spans="1:33" ht="22.5" customHeight="1" x14ac:dyDescent="0.25">
      <c r="A102" s="5">
        <v>9</v>
      </c>
      <c r="B102" s="73" t="str">
        <f>B62</f>
        <v>Лисай И. М.</v>
      </c>
      <c r="C102" s="74"/>
      <c r="D102" s="74"/>
      <c r="E102" s="74"/>
      <c r="F102" s="74"/>
      <c r="G102" s="74"/>
      <c r="H102" s="75"/>
      <c r="I102" s="43">
        <f>C62</f>
        <v>3</v>
      </c>
      <c r="J102" s="44"/>
      <c r="K102" s="45"/>
      <c r="L102" s="89">
        <v>1.34</v>
      </c>
      <c r="M102" s="90"/>
      <c r="N102" s="90"/>
      <c r="O102" s="91"/>
      <c r="P102" s="43" t="str">
        <f>Y62</f>
        <v xml:space="preserve"> </v>
      </c>
      <c r="Q102" s="44"/>
      <c r="R102" s="44"/>
      <c r="S102" s="45"/>
      <c r="T102" s="43" t="e">
        <f>T62</f>
        <v>#REF!</v>
      </c>
      <c r="U102" s="44"/>
      <c r="V102" s="45"/>
      <c r="W102" s="76" t="e">
        <f t="shared" si="6"/>
        <v>#REF!</v>
      </c>
      <c r="X102" s="77"/>
      <c r="Y102" s="77"/>
      <c r="Z102" s="78"/>
      <c r="AA102" s="43" t="e">
        <f>IF(W108=0,0,AE109/W108)</f>
        <v>#REF!</v>
      </c>
      <c r="AB102" s="44"/>
      <c r="AC102" s="44"/>
      <c r="AD102" s="45"/>
      <c r="AE102" s="76" t="e">
        <f t="shared" si="7"/>
        <v>#REF!</v>
      </c>
      <c r="AF102" s="77"/>
      <c r="AG102" s="78"/>
    </row>
    <row r="103" spans="1:33" ht="22.5" customHeight="1" x14ac:dyDescent="0.25">
      <c r="A103" s="5">
        <v>10</v>
      </c>
      <c r="B103" s="73" t="str">
        <f>B64</f>
        <v>Сильванович А. С.</v>
      </c>
      <c r="C103" s="74"/>
      <c r="D103" s="74"/>
      <c r="E103" s="74"/>
      <c r="F103" s="74"/>
      <c r="G103" s="74"/>
      <c r="H103" s="75"/>
      <c r="I103" s="43">
        <f>C64</f>
        <v>3</v>
      </c>
      <c r="J103" s="44"/>
      <c r="K103" s="45"/>
      <c r="L103" s="89">
        <v>1.34</v>
      </c>
      <c r="M103" s="90"/>
      <c r="N103" s="90"/>
      <c r="O103" s="91"/>
      <c r="P103" s="43" t="str">
        <f>Y64</f>
        <v xml:space="preserve"> </v>
      </c>
      <c r="Q103" s="44"/>
      <c r="R103" s="44"/>
      <c r="S103" s="45"/>
      <c r="T103" s="43" t="e">
        <f>T64</f>
        <v>#REF!</v>
      </c>
      <c r="U103" s="44"/>
      <c r="V103" s="45"/>
      <c r="W103" s="76" t="e">
        <f t="shared" si="6"/>
        <v>#REF!</v>
      </c>
      <c r="X103" s="77"/>
      <c r="Y103" s="77"/>
      <c r="Z103" s="78"/>
      <c r="AA103" s="43" t="e">
        <f>IF(W108=0,0,AE109/W108)</f>
        <v>#REF!</v>
      </c>
      <c r="AB103" s="44"/>
      <c r="AC103" s="44"/>
      <c r="AD103" s="45"/>
      <c r="AE103" s="76" t="e">
        <f t="shared" si="7"/>
        <v>#REF!</v>
      </c>
      <c r="AF103" s="77"/>
      <c r="AG103" s="78"/>
    </row>
    <row r="104" spans="1:33" ht="22.5" customHeight="1" x14ac:dyDescent="0.25">
      <c r="A104" s="5">
        <v>11</v>
      </c>
      <c r="B104" s="73" t="str">
        <f>B66</f>
        <v>Хилимончик Н. В.</v>
      </c>
      <c r="C104" s="74"/>
      <c r="D104" s="74"/>
      <c r="E104" s="74"/>
      <c r="F104" s="74"/>
      <c r="G104" s="74"/>
      <c r="H104" s="75"/>
      <c r="I104" s="43">
        <f>C66</f>
        <v>3</v>
      </c>
      <c r="J104" s="44"/>
      <c r="K104" s="45"/>
      <c r="L104" s="89">
        <v>1.34</v>
      </c>
      <c r="M104" s="90"/>
      <c r="N104" s="90"/>
      <c r="O104" s="91"/>
      <c r="P104" s="43" t="str">
        <f>Y66</f>
        <v xml:space="preserve"> </v>
      </c>
      <c r="Q104" s="44"/>
      <c r="R104" s="44"/>
      <c r="S104" s="45"/>
      <c r="T104" s="43" t="e">
        <f>T66</f>
        <v>#REF!</v>
      </c>
      <c r="U104" s="44"/>
      <c r="V104" s="45"/>
      <c r="W104" s="76" t="e">
        <f t="shared" si="6"/>
        <v>#REF!</v>
      </c>
      <c r="X104" s="77"/>
      <c r="Y104" s="77"/>
      <c r="Z104" s="78"/>
      <c r="AA104" s="43" t="e">
        <f>IF(W108=0,0,AE109/W108)</f>
        <v>#REF!</v>
      </c>
      <c r="AB104" s="44"/>
      <c r="AC104" s="44"/>
      <c r="AD104" s="45"/>
      <c r="AE104" s="76" t="e">
        <f t="shared" si="7"/>
        <v>#REF!</v>
      </c>
      <c r="AF104" s="77"/>
      <c r="AG104" s="78"/>
    </row>
    <row r="105" spans="1:33" ht="22.5" customHeight="1" x14ac:dyDescent="0.25">
      <c r="A105" s="5">
        <v>12</v>
      </c>
      <c r="B105" s="73" t="str">
        <f>B68</f>
        <v>Масюкевич Ю. В.</v>
      </c>
      <c r="C105" s="74"/>
      <c r="D105" s="74"/>
      <c r="E105" s="74"/>
      <c r="F105" s="74"/>
      <c r="G105" s="74"/>
      <c r="H105" s="75"/>
      <c r="I105" s="43">
        <f>C68</f>
        <v>3</v>
      </c>
      <c r="J105" s="44"/>
      <c r="K105" s="45"/>
      <c r="L105" s="89">
        <v>1.34</v>
      </c>
      <c r="M105" s="90"/>
      <c r="N105" s="90"/>
      <c r="O105" s="91"/>
      <c r="P105" s="43" t="str">
        <f>Y68</f>
        <v xml:space="preserve"> </v>
      </c>
      <c r="Q105" s="44"/>
      <c r="R105" s="44"/>
      <c r="S105" s="45"/>
      <c r="T105" s="43" t="e">
        <f>T68</f>
        <v>#REF!</v>
      </c>
      <c r="U105" s="44"/>
      <c r="V105" s="45"/>
      <c r="W105" s="76" t="e">
        <f t="shared" si="6"/>
        <v>#REF!</v>
      </c>
      <c r="X105" s="77"/>
      <c r="Y105" s="77"/>
      <c r="Z105" s="78"/>
      <c r="AA105" s="43" t="e">
        <f>IF(W108=0,0,AE109/W108)</f>
        <v>#REF!</v>
      </c>
      <c r="AB105" s="44"/>
      <c r="AC105" s="44"/>
      <c r="AD105" s="45"/>
      <c r="AE105" s="76" t="e">
        <f t="shared" si="7"/>
        <v>#REF!</v>
      </c>
      <c r="AF105" s="77"/>
      <c r="AG105" s="78"/>
    </row>
    <row r="106" spans="1:33" ht="22.5" customHeight="1" x14ac:dyDescent="0.25">
      <c r="A106" s="5">
        <v>13</v>
      </c>
      <c r="B106" s="73" t="str">
        <f>B70</f>
        <v>Сидорович А. П.</v>
      </c>
      <c r="C106" s="74"/>
      <c r="D106" s="74"/>
      <c r="E106" s="74"/>
      <c r="F106" s="74"/>
      <c r="G106" s="74"/>
      <c r="H106" s="75"/>
      <c r="I106" s="43">
        <f>C70</f>
        <v>3</v>
      </c>
      <c r="J106" s="44"/>
      <c r="K106" s="45"/>
      <c r="L106" s="89">
        <v>1.34</v>
      </c>
      <c r="M106" s="90"/>
      <c r="N106" s="90"/>
      <c r="O106" s="91"/>
      <c r="P106" s="43" t="str">
        <f>Y70</f>
        <v xml:space="preserve"> </v>
      </c>
      <c r="Q106" s="44"/>
      <c r="R106" s="44"/>
      <c r="S106" s="45"/>
      <c r="T106" s="43" t="e">
        <f>T70</f>
        <v>#REF!</v>
      </c>
      <c r="U106" s="44"/>
      <c r="V106" s="45"/>
      <c r="W106" s="76" t="e">
        <f t="shared" si="6"/>
        <v>#REF!</v>
      </c>
      <c r="X106" s="77"/>
      <c r="Y106" s="77"/>
      <c r="Z106" s="78"/>
      <c r="AA106" s="43" t="e">
        <f>IF(W108=0,0,AE109/W108)</f>
        <v>#REF!</v>
      </c>
      <c r="AB106" s="44"/>
      <c r="AC106" s="44"/>
      <c r="AD106" s="45"/>
      <c r="AE106" s="76" t="e">
        <f t="shared" si="7"/>
        <v>#REF!</v>
      </c>
      <c r="AF106" s="77"/>
      <c r="AG106" s="78"/>
    </row>
    <row r="107" spans="1:33" ht="22.5" customHeight="1" x14ac:dyDescent="0.25">
      <c r="A107" s="5">
        <v>14</v>
      </c>
      <c r="B107" s="73">
        <f>B72</f>
        <v>0</v>
      </c>
      <c r="C107" s="74"/>
      <c r="D107" s="74"/>
      <c r="E107" s="74"/>
      <c r="F107" s="74"/>
      <c r="G107" s="74"/>
      <c r="H107" s="75"/>
      <c r="I107" s="43">
        <f>C72</f>
        <v>0</v>
      </c>
      <c r="J107" s="44"/>
      <c r="K107" s="45"/>
      <c r="L107" s="89"/>
      <c r="M107" s="90"/>
      <c r="N107" s="90"/>
      <c r="O107" s="91"/>
      <c r="P107" s="43" t="str">
        <f>Y72</f>
        <v xml:space="preserve"> </v>
      </c>
      <c r="Q107" s="44"/>
      <c r="R107" s="44"/>
      <c r="S107" s="45"/>
      <c r="T107" s="43" t="e">
        <f>T72</f>
        <v>#REF!</v>
      </c>
      <c r="U107" s="44"/>
      <c r="V107" s="45"/>
      <c r="W107" s="76" t="e">
        <f t="shared" si="6"/>
        <v>#REF!</v>
      </c>
      <c r="X107" s="77"/>
      <c r="Y107" s="77"/>
      <c r="Z107" s="78"/>
      <c r="AA107" s="43" t="e">
        <f>IF(W108=0,0,AE109/W108)</f>
        <v>#REF!</v>
      </c>
      <c r="AB107" s="44"/>
      <c r="AC107" s="44"/>
      <c r="AD107" s="45"/>
      <c r="AE107" s="76" t="e">
        <f t="shared" si="7"/>
        <v>#REF!</v>
      </c>
      <c r="AF107" s="77"/>
      <c r="AG107" s="78"/>
    </row>
    <row r="108" spans="1:33" ht="22.5" customHeight="1" x14ac:dyDescent="0.25">
      <c r="W108" s="76" t="e">
        <f>SUM(W94:Z107)</f>
        <v>#REF!</v>
      </c>
      <c r="X108" s="77"/>
      <c r="Y108" s="77"/>
      <c r="Z108" s="78"/>
      <c r="AE108" s="76" t="e">
        <f>SUM(AE94:AG107)</f>
        <v>#REF!</v>
      </c>
      <c r="AF108" s="77"/>
      <c r="AG108" s="78"/>
    </row>
    <row r="109" spans="1:33" x14ac:dyDescent="0.25">
      <c r="AB109" s="56" t="s">
        <v>66</v>
      </c>
      <c r="AC109" s="56"/>
      <c r="AD109" s="88"/>
      <c r="AE109" s="82" t="e">
        <f>'001'!AE108:AG109+Рабочие!AE94:AG95+#REF!+#REF!+SDLG!AE63:AG64+#REF!+#REF!+#REF!+#REF!+#REF!+#REF!+#REF!+#REF!+#REF!+#REF!+#REF!+#REF!+#REF!+'18'!AE109:AG110+#REF!+#REF!+#REF!+#REF!</f>
        <v>#VALUE!</v>
      </c>
      <c r="AF109" s="83"/>
      <c r="AG109" s="84"/>
    </row>
    <row r="110" spans="1:33" x14ac:dyDescent="0.25">
      <c r="AB110" s="56"/>
      <c r="AC110" s="56"/>
      <c r="AD110" s="88"/>
      <c r="AE110" s="85"/>
      <c r="AF110" s="86"/>
      <c r="AG110" s="87"/>
    </row>
  </sheetData>
  <mergeCells count="667">
    <mergeCell ref="AE30:AF30"/>
    <mergeCell ref="B30:F30"/>
    <mergeCell ref="G30:H30"/>
    <mergeCell ref="I30:L30"/>
    <mergeCell ref="M30:O30"/>
    <mergeCell ref="P30:S30"/>
    <mergeCell ref="T30:U30"/>
    <mergeCell ref="T29:U29"/>
    <mergeCell ref="V29:W29"/>
    <mergeCell ref="X29:Z29"/>
    <mergeCell ref="AA29:AB29"/>
    <mergeCell ref="AC29:AD29"/>
    <mergeCell ref="V30:W30"/>
    <mergeCell ref="X30:Z30"/>
    <mergeCell ref="AA30:AB30"/>
    <mergeCell ref="AC30:AD30"/>
    <mergeCell ref="AE29:AF29"/>
    <mergeCell ref="V28:W28"/>
    <mergeCell ref="X28:Z28"/>
    <mergeCell ref="AA28:AB28"/>
    <mergeCell ref="AC28:AD28"/>
    <mergeCell ref="AE28:AF28"/>
    <mergeCell ref="B29:F29"/>
    <mergeCell ref="G29:H29"/>
    <mergeCell ref="I29:L29"/>
    <mergeCell ref="M29:O29"/>
    <mergeCell ref="P29:S29"/>
    <mergeCell ref="B28:F28"/>
    <mergeCell ref="G28:H28"/>
    <mergeCell ref="I28:L28"/>
    <mergeCell ref="M28:O28"/>
    <mergeCell ref="P28:S28"/>
    <mergeCell ref="T28:U28"/>
    <mergeCell ref="T27:U27"/>
    <mergeCell ref="V27:W27"/>
    <mergeCell ref="X27:Z27"/>
    <mergeCell ref="AA27:AB27"/>
    <mergeCell ref="AC27:AD27"/>
    <mergeCell ref="AE27:AF27"/>
    <mergeCell ref="V26:W26"/>
    <mergeCell ref="X26:Z26"/>
    <mergeCell ref="AA26:AB26"/>
    <mergeCell ref="AC26:AD26"/>
    <mergeCell ref="AE26:AF26"/>
    <mergeCell ref="B27:F27"/>
    <mergeCell ref="G27:H27"/>
    <mergeCell ref="I27:L27"/>
    <mergeCell ref="M27:O27"/>
    <mergeCell ref="P27:S27"/>
    <mergeCell ref="X25:Z25"/>
    <mergeCell ref="AC25:AD25"/>
    <mergeCell ref="AE25:AF25"/>
    <mergeCell ref="B26:F26"/>
    <mergeCell ref="G26:H26"/>
    <mergeCell ref="I26:L26"/>
    <mergeCell ref="M26:O26"/>
    <mergeCell ref="P26:S26"/>
    <mergeCell ref="T26:U26"/>
    <mergeCell ref="AC24:AD24"/>
    <mergeCell ref="AE24:AF24"/>
    <mergeCell ref="B25:F25"/>
    <mergeCell ref="G25:H25"/>
    <mergeCell ref="I25:L25"/>
    <mergeCell ref="M25:O25"/>
    <mergeCell ref="P25:S25"/>
    <mergeCell ref="T25:U25"/>
    <mergeCell ref="V25:W25"/>
    <mergeCell ref="AA25:AB25"/>
    <mergeCell ref="AC23:AD23"/>
    <mergeCell ref="AE23:AF23"/>
    <mergeCell ref="B24:F24"/>
    <mergeCell ref="G24:H24"/>
    <mergeCell ref="I24:L24"/>
    <mergeCell ref="M24:O24"/>
    <mergeCell ref="P24:S24"/>
    <mergeCell ref="T24:U24"/>
    <mergeCell ref="V24:W24"/>
    <mergeCell ref="X24:Z24"/>
    <mergeCell ref="AC22:AD22"/>
    <mergeCell ref="AE22:AF22"/>
    <mergeCell ref="B23:F23"/>
    <mergeCell ref="G23:H23"/>
    <mergeCell ref="I23:L23"/>
    <mergeCell ref="M23:O23"/>
    <mergeCell ref="P23:S23"/>
    <mergeCell ref="T23:U23"/>
    <mergeCell ref="V23:W23"/>
    <mergeCell ref="AA23:AB23"/>
    <mergeCell ref="AC21:AD21"/>
    <mergeCell ref="AE21:AF21"/>
    <mergeCell ref="B22:F22"/>
    <mergeCell ref="G22:H22"/>
    <mergeCell ref="I22:L22"/>
    <mergeCell ref="M22:O22"/>
    <mergeCell ref="P22:S22"/>
    <mergeCell ref="T22:U22"/>
    <mergeCell ref="V22:W22"/>
    <mergeCell ref="AA22:AB22"/>
    <mergeCell ref="AC20:AD20"/>
    <mergeCell ref="AE20:AF20"/>
    <mergeCell ref="B21:F21"/>
    <mergeCell ref="G21:H21"/>
    <mergeCell ref="I21:L21"/>
    <mergeCell ref="M21:O21"/>
    <mergeCell ref="P21:S21"/>
    <mergeCell ref="T21:U21"/>
    <mergeCell ref="V21:W21"/>
    <mergeCell ref="X21:Z21"/>
    <mergeCell ref="AE19:AF19"/>
    <mergeCell ref="B20:F20"/>
    <mergeCell ref="G20:H20"/>
    <mergeCell ref="I20:L20"/>
    <mergeCell ref="M20:O20"/>
    <mergeCell ref="P20:S20"/>
    <mergeCell ref="T20:U20"/>
    <mergeCell ref="V20:W20"/>
    <mergeCell ref="X20:Z20"/>
    <mergeCell ref="AA20:AB20"/>
    <mergeCell ref="AE18:AF18"/>
    <mergeCell ref="B19:F19"/>
    <mergeCell ref="G19:H19"/>
    <mergeCell ref="I19:L19"/>
    <mergeCell ref="M19:O19"/>
    <mergeCell ref="P19:S19"/>
    <mergeCell ref="T19:U19"/>
    <mergeCell ref="V19:W19"/>
    <mergeCell ref="X19:Z19"/>
    <mergeCell ref="AA19:AB19"/>
    <mergeCell ref="AE17:AF17"/>
    <mergeCell ref="B18:F18"/>
    <mergeCell ref="G18:H18"/>
    <mergeCell ref="I18:L18"/>
    <mergeCell ref="M18:O18"/>
    <mergeCell ref="P18:S18"/>
    <mergeCell ref="T18:U18"/>
    <mergeCell ref="V18:W18"/>
    <mergeCell ref="X18:Z18"/>
    <mergeCell ref="AA18:AB18"/>
    <mergeCell ref="G17:H17"/>
    <mergeCell ref="I17:L17"/>
    <mergeCell ref="M17:O17"/>
    <mergeCell ref="P17:S17"/>
    <mergeCell ref="T17:U17"/>
    <mergeCell ref="AA17:AB17"/>
    <mergeCell ref="V17:W17"/>
    <mergeCell ref="I104:K104"/>
    <mergeCell ref="L104:O104"/>
    <mergeCell ref="P104:S104"/>
    <mergeCell ref="T79:AD79"/>
    <mergeCell ref="T77:X77"/>
    <mergeCell ref="Y77:AG77"/>
    <mergeCell ref="B78:Q78"/>
    <mergeCell ref="B77:Q77"/>
    <mergeCell ref="S87:U87"/>
    <mergeCell ref="I87:K87"/>
    <mergeCell ref="AG70:AG71"/>
    <mergeCell ref="I106:K106"/>
    <mergeCell ref="L106:O106"/>
    <mergeCell ref="P106:S106"/>
    <mergeCell ref="P105:S105"/>
    <mergeCell ref="AE68:AE69"/>
    <mergeCell ref="AF68:AF69"/>
    <mergeCell ref="T70:T71"/>
    <mergeCell ref="W70:W71"/>
    <mergeCell ref="U70:U71"/>
    <mergeCell ref="U68:U69"/>
    <mergeCell ref="V68:V69"/>
    <mergeCell ref="X68:X69"/>
    <mergeCell ref="AF70:AF71"/>
    <mergeCell ref="Z68:Z69"/>
    <mergeCell ref="AC68:AC69"/>
    <mergeCell ref="AB70:AB71"/>
    <mergeCell ref="AC70:AC71"/>
    <mergeCell ref="Z70:Z71"/>
    <mergeCell ref="AA70:AA71"/>
    <mergeCell ref="AG44:AG45"/>
    <mergeCell ref="Y68:Y69"/>
    <mergeCell ref="AC66:AC67"/>
    <mergeCell ref="AB66:AB67"/>
    <mergeCell ref="W66:W67"/>
    <mergeCell ref="W68:W69"/>
    <mergeCell ref="AF66:AF67"/>
    <mergeCell ref="AA66:AA67"/>
    <mergeCell ref="AD68:AD69"/>
    <mergeCell ref="AF44:AF45"/>
    <mergeCell ref="AG66:AG67"/>
    <mergeCell ref="AG68:AG69"/>
    <mergeCell ref="C46:C47"/>
    <mergeCell ref="G37:J37"/>
    <mergeCell ref="P31:S31"/>
    <mergeCell ref="P32:S32"/>
    <mergeCell ref="U66:U67"/>
    <mergeCell ref="V66:V67"/>
    <mergeCell ref="C68:C69"/>
    <mergeCell ref="T46:T47"/>
    <mergeCell ref="AC14:AD14"/>
    <mergeCell ref="T15:U15"/>
    <mergeCell ref="Y44:Y45"/>
    <mergeCell ref="AB43:AG43"/>
    <mergeCell ref="AE14:AF14"/>
    <mergeCell ref="AE16:AF16"/>
    <mergeCell ref="B38:AE38"/>
    <mergeCell ref="B14:F14"/>
    <mergeCell ref="D36:AC36"/>
    <mergeCell ref="B40:H40"/>
    <mergeCell ref="J5:W5"/>
    <mergeCell ref="Q7:U7"/>
    <mergeCell ref="Q8:U8"/>
    <mergeCell ref="V8:Z8"/>
    <mergeCell ref="X14:Z14"/>
    <mergeCell ref="T14:U14"/>
    <mergeCell ref="V14:W14"/>
    <mergeCell ref="A10:A13"/>
    <mergeCell ref="M11:S11"/>
    <mergeCell ref="V12:W13"/>
    <mergeCell ref="G10:H13"/>
    <mergeCell ref="T11:W11"/>
    <mergeCell ref="I10:W10"/>
    <mergeCell ref="P12:S13"/>
    <mergeCell ref="B10:F13"/>
    <mergeCell ref="I11:L13"/>
    <mergeCell ref="T12:U13"/>
    <mergeCell ref="G16:H16"/>
    <mergeCell ref="P14:S14"/>
    <mergeCell ref="P15:S15"/>
    <mergeCell ref="B15:F15"/>
    <mergeCell ref="B31:F31"/>
    <mergeCell ref="G31:H31"/>
    <mergeCell ref="M15:O15"/>
    <mergeCell ref="I16:L16"/>
    <mergeCell ref="M16:O16"/>
    <mergeCell ref="P16:S16"/>
    <mergeCell ref="G14:H14"/>
    <mergeCell ref="I14:L14"/>
    <mergeCell ref="G15:H15"/>
    <mergeCell ref="A43:A45"/>
    <mergeCell ref="C43:C45"/>
    <mergeCell ref="D43:S43"/>
    <mergeCell ref="B43:B45"/>
    <mergeCell ref="B17:F17"/>
    <mergeCell ref="B16:F16"/>
    <mergeCell ref="M31:O31"/>
    <mergeCell ref="AA16:AB16"/>
    <mergeCell ref="T44:V44"/>
    <mergeCell ref="W44:W45"/>
    <mergeCell ref="X16:Z16"/>
    <mergeCell ref="V46:V47"/>
    <mergeCell ref="Z46:Z47"/>
    <mergeCell ref="T43:X43"/>
    <mergeCell ref="Z44:Z45"/>
    <mergeCell ref="AA44:AA45"/>
    <mergeCell ref="AB44:AE44"/>
    <mergeCell ref="X22:Z22"/>
    <mergeCell ref="X23:Z23"/>
    <mergeCell ref="X17:Z17"/>
    <mergeCell ref="W46:W47"/>
    <mergeCell ref="T31:U31"/>
    <mergeCell ref="Y43:AA43"/>
    <mergeCell ref="AA21:AB21"/>
    <mergeCell ref="AA46:AA47"/>
    <mergeCell ref="AB46:AB47"/>
    <mergeCell ref="AA24:AB24"/>
    <mergeCell ref="X46:X47"/>
    <mergeCell ref="Y46:Y47"/>
    <mergeCell ref="X44:X45"/>
    <mergeCell ref="U48:U49"/>
    <mergeCell ref="V48:V49"/>
    <mergeCell ref="W48:W49"/>
    <mergeCell ref="U46:U47"/>
    <mergeCell ref="AC17:AD17"/>
    <mergeCell ref="AC18:AD18"/>
    <mergeCell ref="AC19:AD19"/>
    <mergeCell ref="A48:A49"/>
    <mergeCell ref="B48:B49"/>
    <mergeCell ref="C48:C49"/>
    <mergeCell ref="T48:T49"/>
    <mergeCell ref="A46:A47"/>
    <mergeCell ref="AC48:AC49"/>
    <mergeCell ref="AD46:AD47"/>
    <mergeCell ref="AE48:AE49"/>
    <mergeCell ref="X48:X49"/>
    <mergeCell ref="Y48:Y49"/>
    <mergeCell ref="B46:B47"/>
    <mergeCell ref="AG48:AG49"/>
    <mergeCell ref="AG46:AG47"/>
    <mergeCell ref="Z48:Z49"/>
    <mergeCell ref="AA48:AA49"/>
    <mergeCell ref="AB48:AB49"/>
    <mergeCell ref="AC46:AC47"/>
    <mergeCell ref="AE46:AE47"/>
    <mergeCell ref="AF48:AF49"/>
    <mergeCell ref="AD48:AD49"/>
    <mergeCell ref="AF50:AF51"/>
    <mergeCell ref="AA50:AA51"/>
    <mergeCell ref="AB50:AB51"/>
    <mergeCell ref="AE50:AE51"/>
    <mergeCell ref="AD50:AD51"/>
    <mergeCell ref="AC50:AC51"/>
    <mergeCell ref="AF46:AF47"/>
    <mergeCell ref="Y50:Y51"/>
    <mergeCell ref="X50:X51"/>
    <mergeCell ref="A50:A51"/>
    <mergeCell ref="B50:B51"/>
    <mergeCell ref="C50:C51"/>
    <mergeCell ref="T50:T51"/>
    <mergeCell ref="W50:W51"/>
    <mergeCell ref="U50:U51"/>
    <mergeCell ref="V50:V51"/>
    <mergeCell ref="V52:V53"/>
    <mergeCell ref="W52:W53"/>
    <mergeCell ref="X52:X53"/>
    <mergeCell ref="A52:A53"/>
    <mergeCell ref="B52:B53"/>
    <mergeCell ref="C52:C53"/>
    <mergeCell ref="T52:T53"/>
    <mergeCell ref="U52:U53"/>
    <mergeCell ref="AG52:AG53"/>
    <mergeCell ref="AD52:AD53"/>
    <mergeCell ref="AE52:AE53"/>
    <mergeCell ref="AG50:AG51"/>
    <mergeCell ref="AF52:AF53"/>
    <mergeCell ref="Z52:Z53"/>
    <mergeCell ref="AA52:AA53"/>
    <mergeCell ref="AB52:AB53"/>
    <mergeCell ref="AC52:AC53"/>
    <mergeCell ref="Z50:Z51"/>
    <mergeCell ref="A54:A55"/>
    <mergeCell ref="B54:B55"/>
    <mergeCell ref="C54:C55"/>
    <mergeCell ref="T54:T55"/>
    <mergeCell ref="Z54:Z55"/>
    <mergeCell ref="W54:W55"/>
    <mergeCell ref="X54:X55"/>
    <mergeCell ref="U54:U55"/>
    <mergeCell ref="Y54:Y55"/>
    <mergeCell ref="V54:V55"/>
    <mergeCell ref="AF54:AF55"/>
    <mergeCell ref="AA54:AA55"/>
    <mergeCell ref="AB54:AB55"/>
    <mergeCell ref="AE54:AE55"/>
    <mergeCell ref="AD54:AD55"/>
    <mergeCell ref="AC54:AC55"/>
    <mergeCell ref="W56:W57"/>
    <mergeCell ref="B56:B57"/>
    <mergeCell ref="C60:C61"/>
    <mergeCell ref="B60:B61"/>
    <mergeCell ref="T56:T57"/>
    <mergeCell ref="U56:U57"/>
    <mergeCell ref="C56:C57"/>
    <mergeCell ref="B58:B59"/>
    <mergeCell ref="U58:U59"/>
    <mergeCell ref="C58:C59"/>
    <mergeCell ref="AE58:AE59"/>
    <mergeCell ref="AF58:AF59"/>
    <mergeCell ref="X56:X57"/>
    <mergeCell ref="X60:X61"/>
    <mergeCell ref="Z58:Z59"/>
    <mergeCell ref="AA58:AA59"/>
    <mergeCell ref="AC58:AC59"/>
    <mergeCell ref="Z60:Z61"/>
    <mergeCell ref="AA60:AA61"/>
    <mergeCell ref="AB60:AB61"/>
    <mergeCell ref="A72:A73"/>
    <mergeCell ref="B64:B65"/>
    <mergeCell ref="B70:B71"/>
    <mergeCell ref="A68:A69"/>
    <mergeCell ref="B68:B69"/>
    <mergeCell ref="B66:B67"/>
    <mergeCell ref="A70:A71"/>
    <mergeCell ref="T58:T59"/>
    <mergeCell ref="C66:C67"/>
    <mergeCell ref="T66:T67"/>
    <mergeCell ref="B62:B63"/>
    <mergeCell ref="A56:A57"/>
    <mergeCell ref="AB58:AB59"/>
    <mergeCell ref="V62:V63"/>
    <mergeCell ref="W62:W63"/>
    <mergeCell ref="W60:W61"/>
    <mergeCell ref="Y60:Y61"/>
    <mergeCell ref="AC60:AC61"/>
    <mergeCell ref="Z66:Z67"/>
    <mergeCell ref="C62:C63"/>
    <mergeCell ref="AB62:AB63"/>
    <mergeCell ref="AG56:AG57"/>
    <mergeCell ref="Z56:Z57"/>
    <mergeCell ref="AA56:AA57"/>
    <mergeCell ref="AB56:AB57"/>
    <mergeCell ref="AC56:AC57"/>
    <mergeCell ref="AD56:AD57"/>
    <mergeCell ref="AF56:AF57"/>
    <mergeCell ref="AE56:AE57"/>
    <mergeCell ref="AG58:AG59"/>
    <mergeCell ref="Y62:Y63"/>
    <mergeCell ref="AG60:AG61"/>
    <mergeCell ref="Z62:Z63"/>
    <mergeCell ref="AA62:AA63"/>
    <mergeCell ref="AF62:AF63"/>
    <mergeCell ref="AG62:AG63"/>
    <mergeCell ref="AD62:AD63"/>
    <mergeCell ref="AE62:AE63"/>
    <mergeCell ref="AD60:AD61"/>
    <mergeCell ref="AE60:AE61"/>
    <mergeCell ref="AC72:AC73"/>
    <mergeCell ref="AF60:AF61"/>
    <mergeCell ref="AC62:AC63"/>
    <mergeCell ref="AC64:AC65"/>
    <mergeCell ref="AF64:AF65"/>
    <mergeCell ref="AE64:AE65"/>
    <mergeCell ref="AD64:AD65"/>
    <mergeCell ref="V64:V65"/>
    <mergeCell ref="Z64:Z65"/>
    <mergeCell ref="X62:X63"/>
    <mergeCell ref="X64:X65"/>
    <mergeCell ref="Y64:Y65"/>
    <mergeCell ref="V60:V61"/>
    <mergeCell ref="Y72:Y73"/>
    <mergeCell ref="Z72:Z73"/>
    <mergeCell ref="X66:X67"/>
    <mergeCell ref="Y66:Y67"/>
    <mergeCell ref="X70:X71"/>
    <mergeCell ref="Y70:Y71"/>
    <mergeCell ref="AG64:AG65"/>
    <mergeCell ref="V70:V71"/>
    <mergeCell ref="W64:W65"/>
    <mergeCell ref="AD66:AD67"/>
    <mergeCell ref="AE66:AE67"/>
    <mergeCell ref="AD70:AD71"/>
    <mergeCell ref="AE70:AE71"/>
    <mergeCell ref="AA68:AA69"/>
    <mergeCell ref="AB68:AB69"/>
    <mergeCell ref="AB64:AB65"/>
    <mergeCell ref="AG72:AG73"/>
    <mergeCell ref="B76:Q76"/>
    <mergeCell ref="T76:AG76"/>
    <mergeCell ref="Q74:S74"/>
    <mergeCell ref="U72:U73"/>
    <mergeCell ref="T72:T73"/>
    <mergeCell ref="V72:V73"/>
    <mergeCell ref="AA72:AA73"/>
    <mergeCell ref="AB72:AB73"/>
    <mergeCell ref="X72:X73"/>
    <mergeCell ref="B1:E1"/>
    <mergeCell ref="G3:T3"/>
    <mergeCell ref="AA31:AB31"/>
    <mergeCell ref="T37:AB37"/>
    <mergeCell ref="F4:H4"/>
    <mergeCell ref="W72:W73"/>
    <mergeCell ref="AA64:AA65"/>
    <mergeCell ref="C72:C73"/>
    <mergeCell ref="I4:P4"/>
    <mergeCell ref="A4:C4"/>
    <mergeCell ref="AE3:AF3"/>
    <mergeCell ref="AA3:AD3"/>
    <mergeCell ref="A3:C3"/>
    <mergeCell ref="A2:F2"/>
    <mergeCell ref="AD72:AD73"/>
    <mergeCell ref="AE72:AE73"/>
    <mergeCell ref="AF72:AF73"/>
    <mergeCell ref="AA11:AB13"/>
    <mergeCell ref="AE4:AF4"/>
    <mergeCell ref="V7:Z7"/>
    <mergeCell ref="AE8:AG8"/>
    <mergeCell ref="X10:AF10"/>
    <mergeCell ref="X11:Z13"/>
    <mergeCell ref="AC11:AD13"/>
    <mergeCell ref="AE11:AF13"/>
    <mergeCell ref="V15:W15"/>
    <mergeCell ref="X15:Z15"/>
    <mergeCell ref="AA15:AB15"/>
    <mergeCell ref="AC15:AD15"/>
    <mergeCell ref="AA14:AB14"/>
    <mergeCell ref="AE31:AF31"/>
    <mergeCell ref="T32:U32"/>
    <mergeCell ref="AE32:AF32"/>
    <mergeCell ref="AC31:AD31"/>
    <mergeCell ref="AG10:AG13"/>
    <mergeCell ref="AA5:AD5"/>
    <mergeCell ref="AE5:AF5"/>
    <mergeCell ref="AE7:AG7"/>
    <mergeCell ref="AA7:AD7"/>
    <mergeCell ref="AA8:AD8"/>
    <mergeCell ref="L87:R87"/>
    <mergeCell ref="AC32:AD32"/>
    <mergeCell ref="AE15:AF15"/>
    <mergeCell ref="T16:U16"/>
    <mergeCell ref="V16:W16"/>
    <mergeCell ref="AC16:AD16"/>
    <mergeCell ref="V31:W31"/>
    <mergeCell ref="M32:O32"/>
    <mergeCell ref="I15:L15"/>
    <mergeCell ref="I31:L31"/>
    <mergeCell ref="AE33:AF33"/>
    <mergeCell ref="AB33:AD33"/>
    <mergeCell ref="Y56:Y57"/>
    <mergeCell ref="B32:F32"/>
    <mergeCell ref="G32:H32"/>
    <mergeCell ref="I32:L32"/>
    <mergeCell ref="V56:V57"/>
    <mergeCell ref="Y52:Y53"/>
    <mergeCell ref="AA32:AB32"/>
    <mergeCell ref="V32:W32"/>
    <mergeCell ref="AG54:AG55"/>
    <mergeCell ref="W96:Z96"/>
    <mergeCell ref="P95:S95"/>
    <mergeCell ref="L97:O97"/>
    <mergeCell ref="AA96:AD96"/>
    <mergeCell ref="AD58:AD59"/>
    <mergeCell ref="V58:V59"/>
    <mergeCell ref="W58:W59"/>
    <mergeCell ref="X58:X59"/>
    <mergeCell ref="Y58:Y59"/>
    <mergeCell ref="P96:S96"/>
    <mergeCell ref="AE91:AG93"/>
    <mergeCell ref="A89:AG89"/>
    <mergeCell ref="A91:A93"/>
    <mergeCell ref="B91:H93"/>
    <mergeCell ref="I91:K93"/>
    <mergeCell ref="L91:O93"/>
    <mergeCell ref="P91:S93"/>
    <mergeCell ref="T91:V93"/>
    <mergeCell ref="W91:Z93"/>
    <mergeCell ref="L96:O96"/>
    <mergeCell ref="W94:Z94"/>
    <mergeCell ref="T95:V95"/>
    <mergeCell ref="B98:H98"/>
    <mergeCell ref="I99:K99"/>
    <mergeCell ref="AA91:AD93"/>
    <mergeCell ref="T94:V94"/>
    <mergeCell ref="I97:K97"/>
    <mergeCell ref="I98:K98"/>
    <mergeCell ref="AA95:AD95"/>
    <mergeCell ref="W95:Z95"/>
    <mergeCell ref="L100:O100"/>
    <mergeCell ref="P100:S100"/>
    <mergeCell ref="L98:O98"/>
    <mergeCell ref="B97:H97"/>
    <mergeCell ref="L94:O94"/>
    <mergeCell ref="L95:O95"/>
    <mergeCell ref="I95:K95"/>
    <mergeCell ref="P94:S94"/>
    <mergeCell ref="I96:K96"/>
    <mergeCell ref="I102:K102"/>
    <mergeCell ref="I100:K100"/>
    <mergeCell ref="AE94:AG94"/>
    <mergeCell ref="B95:H95"/>
    <mergeCell ref="B96:H96"/>
    <mergeCell ref="AE95:AG95"/>
    <mergeCell ref="B94:H94"/>
    <mergeCell ref="I94:K94"/>
    <mergeCell ref="AE96:AG96"/>
    <mergeCell ref="T96:V96"/>
    <mergeCell ref="B107:H107"/>
    <mergeCell ref="I103:K103"/>
    <mergeCell ref="I107:K107"/>
    <mergeCell ref="L107:O107"/>
    <mergeCell ref="B103:H103"/>
    <mergeCell ref="L103:O103"/>
    <mergeCell ref="B105:H105"/>
    <mergeCell ref="I105:K105"/>
    <mergeCell ref="L105:O105"/>
    <mergeCell ref="B104:H104"/>
    <mergeCell ref="W107:Z107"/>
    <mergeCell ref="P97:S97"/>
    <mergeCell ref="P98:S98"/>
    <mergeCell ref="P99:S99"/>
    <mergeCell ref="T97:V97"/>
    <mergeCell ref="T98:V98"/>
    <mergeCell ref="P103:S103"/>
    <mergeCell ref="P107:S107"/>
    <mergeCell ref="P102:S102"/>
    <mergeCell ref="P101:S101"/>
    <mergeCell ref="AA100:AD100"/>
    <mergeCell ref="AE101:AG101"/>
    <mergeCell ref="AE102:AG102"/>
    <mergeCell ref="W99:Z99"/>
    <mergeCell ref="B106:H106"/>
    <mergeCell ref="L101:O101"/>
    <mergeCell ref="L102:O102"/>
    <mergeCell ref="L99:O99"/>
    <mergeCell ref="B102:H102"/>
    <mergeCell ref="B99:H99"/>
    <mergeCell ref="AE99:AG99"/>
    <mergeCell ref="AA97:AD97"/>
    <mergeCell ref="AA98:AD98"/>
    <mergeCell ref="AA99:AD99"/>
    <mergeCell ref="W97:Z97"/>
    <mergeCell ref="T103:V103"/>
    <mergeCell ref="AE100:AG100"/>
    <mergeCell ref="T99:V99"/>
    <mergeCell ref="W101:Z101"/>
    <mergeCell ref="W100:Z100"/>
    <mergeCell ref="AE109:AG110"/>
    <mergeCell ref="AA102:AD102"/>
    <mergeCell ref="AA101:AD101"/>
    <mergeCell ref="T101:V101"/>
    <mergeCell ref="AB109:AD110"/>
    <mergeCell ref="W103:Z103"/>
    <mergeCell ref="T107:V107"/>
    <mergeCell ref="T105:V105"/>
    <mergeCell ref="T104:V104"/>
    <mergeCell ref="T106:V106"/>
    <mergeCell ref="W108:Z108"/>
    <mergeCell ref="AE108:AG108"/>
    <mergeCell ref="AA103:AD103"/>
    <mergeCell ref="AA107:AD107"/>
    <mergeCell ref="W105:Z105"/>
    <mergeCell ref="AE107:AG107"/>
    <mergeCell ref="AA105:AD105"/>
    <mergeCell ref="AE105:AG105"/>
    <mergeCell ref="AA106:AD106"/>
    <mergeCell ref="AE106:AG106"/>
    <mergeCell ref="W106:Z106"/>
    <mergeCell ref="AA104:AD104"/>
    <mergeCell ref="AE104:AG104"/>
    <mergeCell ref="AE103:AG103"/>
    <mergeCell ref="W102:Z102"/>
    <mergeCell ref="W104:Z104"/>
    <mergeCell ref="AE97:AG97"/>
    <mergeCell ref="W98:Z98"/>
    <mergeCell ref="X32:Z32"/>
    <mergeCell ref="T64:T65"/>
    <mergeCell ref="X31:Z31"/>
    <mergeCell ref="X82:AD82"/>
    <mergeCell ref="T60:T61"/>
    <mergeCell ref="T68:T69"/>
    <mergeCell ref="AE98:AG98"/>
    <mergeCell ref="AA94:AD94"/>
    <mergeCell ref="D86:Z86"/>
    <mergeCell ref="C81:K81"/>
    <mergeCell ref="L81:M81"/>
    <mergeCell ref="T62:T63"/>
    <mergeCell ref="B72:B73"/>
    <mergeCell ref="T102:V102"/>
    <mergeCell ref="T100:V100"/>
    <mergeCell ref="B100:H100"/>
    <mergeCell ref="B101:H101"/>
    <mergeCell ref="I101:K101"/>
    <mergeCell ref="P42:S42"/>
    <mergeCell ref="C70:C71"/>
    <mergeCell ref="A58:A59"/>
    <mergeCell ref="A60:A61"/>
    <mergeCell ref="M14:O14"/>
    <mergeCell ref="A5:I5"/>
    <mergeCell ref="C64:C65"/>
    <mergeCell ref="A66:A67"/>
    <mergeCell ref="A64:A65"/>
    <mergeCell ref="A62:A63"/>
    <mergeCell ref="I84:U84"/>
    <mergeCell ref="U60:U61"/>
    <mergeCell ref="U62:U63"/>
    <mergeCell ref="U64:U65"/>
    <mergeCell ref="B79:Q79"/>
    <mergeCell ref="B37:F37"/>
    <mergeCell ref="K37:L37"/>
    <mergeCell ref="T80:Y80"/>
    <mergeCell ref="D42:I42"/>
    <mergeCell ref="J42:O42"/>
    <mergeCell ref="Z80:AG80"/>
    <mergeCell ref="Z81:AG81"/>
    <mergeCell ref="AA4:AD4"/>
    <mergeCell ref="B35:F35"/>
    <mergeCell ref="G35:J35"/>
    <mergeCell ref="K35:L35"/>
    <mergeCell ref="T35:AB35"/>
    <mergeCell ref="A6:C6"/>
    <mergeCell ref="Q4:R4"/>
    <mergeCell ref="M12:O13"/>
  </mergeCells>
  <phoneticPr fontId="2" type="noConversion"/>
  <pageMargins left="0.39370078740157483" right="0.39370078740157483" top="0.39370078740157483" bottom="0.39370078740157483" header="0.39370078740157483" footer="0.31496062992125984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110"/>
  <sheetViews>
    <sheetView topLeftCell="A22" workbookViewId="0">
      <selection activeCell="Q33" sqref="Q33"/>
    </sheetView>
  </sheetViews>
  <sheetFormatPr defaultColWidth="9.1796875" defaultRowHeight="12.5" x14ac:dyDescent="0.25"/>
  <cols>
    <col min="1" max="1" width="7.81640625" style="1" customWidth="1"/>
    <col min="2" max="2" width="22.26953125" style="1" customWidth="1"/>
    <col min="3" max="3" width="4.453125" style="1" customWidth="1"/>
    <col min="4" max="4" width="2.7265625" style="1" customWidth="1"/>
    <col min="5" max="7" width="2.54296875" style="1" customWidth="1"/>
    <col min="8" max="14" width="2.7265625" style="1" customWidth="1"/>
    <col min="15" max="15" width="2.453125" style="1" customWidth="1"/>
    <col min="16" max="16" width="2.7265625" style="1" customWidth="1"/>
    <col min="17" max="17" width="2.54296875" style="1" customWidth="1"/>
    <col min="18" max="18" width="2.453125" style="1" customWidth="1"/>
    <col min="19" max="19" width="2.7265625" style="1" customWidth="1"/>
    <col min="20" max="26" width="3.7265625" style="1" customWidth="1"/>
    <col min="27" max="30" width="4.7265625" style="1" customWidth="1"/>
    <col min="31" max="31" width="4.81640625" style="1" customWidth="1"/>
    <col min="32" max="32" width="5.453125" style="1" customWidth="1"/>
    <col min="33" max="33" width="8.81640625" style="1" customWidth="1"/>
    <col min="34" max="16384" width="9.1796875" style="1"/>
  </cols>
  <sheetData>
    <row r="1" spans="1:33" x14ac:dyDescent="0.25">
      <c r="B1" s="47" t="s">
        <v>0</v>
      </c>
      <c r="C1" s="47"/>
      <c r="D1" s="47"/>
      <c r="E1" s="47"/>
    </row>
    <row r="2" spans="1:33" x14ac:dyDescent="0.25">
      <c r="A2" s="56" t="s">
        <v>73</v>
      </c>
      <c r="B2" s="56"/>
      <c r="C2" s="56"/>
      <c r="D2" s="56"/>
      <c r="E2" s="56"/>
      <c r="F2" s="56"/>
    </row>
    <row r="3" spans="1:33" x14ac:dyDescent="0.25">
      <c r="A3" s="56" t="s">
        <v>74</v>
      </c>
      <c r="B3" s="56"/>
      <c r="C3" s="56"/>
      <c r="G3" s="56" t="s">
        <v>34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AA3" s="43" t="s">
        <v>86</v>
      </c>
      <c r="AB3" s="44"/>
      <c r="AC3" s="44"/>
      <c r="AD3" s="45"/>
      <c r="AE3" s="43" t="s">
        <v>36</v>
      </c>
      <c r="AF3" s="45"/>
      <c r="AG3" s="3" t="s">
        <v>35</v>
      </c>
    </row>
    <row r="4" spans="1:33" ht="15" customHeight="1" x14ac:dyDescent="0.45">
      <c r="A4" s="47"/>
      <c r="B4" s="47"/>
      <c r="C4" s="47"/>
      <c r="F4" s="149" t="s">
        <v>69</v>
      </c>
      <c r="G4" s="149"/>
      <c r="H4" s="149"/>
      <c r="I4" s="242" t="str">
        <f>ИТОГО!I4</f>
        <v>Июль</v>
      </c>
      <c r="J4" s="242"/>
      <c r="K4" s="242"/>
      <c r="L4" s="242"/>
      <c r="M4" s="242"/>
      <c r="N4" s="242"/>
      <c r="O4" s="242"/>
      <c r="P4" s="242"/>
      <c r="Q4" s="59">
        <f>ИТОГО!Q4</f>
        <v>2025</v>
      </c>
      <c r="R4" s="59"/>
      <c r="S4" s="4" t="s">
        <v>76</v>
      </c>
      <c r="T4" s="4"/>
      <c r="U4" s="4"/>
      <c r="V4" s="4"/>
      <c r="W4" s="4"/>
      <c r="AA4" s="43" t="s">
        <v>1</v>
      </c>
      <c r="AB4" s="44"/>
      <c r="AC4" s="44"/>
      <c r="AD4" s="45"/>
      <c r="AE4" s="239"/>
      <c r="AF4" s="240"/>
      <c r="AG4" s="32"/>
    </row>
    <row r="5" spans="1:33" ht="27" customHeight="1" x14ac:dyDescent="0.25">
      <c r="A5" s="238" t="s">
        <v>91</v>
      </c>
      <c r="B5" s="238"/>
      <c r="C5" s="238"/>
      <c r="D5" s="238"/>
      <c r="E5" s="238"/>
      <c r="F5" s="238"/>
      <c r="G5" s="238"/>
      <c r="H5" s="238"/>
      <c r="I5" s="238"/>
      <c r="J5" s="192" t="s">
        <v>2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AA5" s="43" t="s">
        <v>3</v>
      </c>
      <c r="AB5" s="44"/>
      <c r="AC5" s="44"/>
      <c r="AD5" s="45"/>
      <c r="AE5" s="239"/>
      <c r="AF5" s="240"/>
      <c r="AG5" s="32"/>
    </row>
    <row r="6" spans="1:33" ht="12.75" customHeight="1" x14ac:dyDescent="0.25">
      <c r="A6" s="237" t="s">
        <v>93</v>
      </c>
      <c r="B6" s="48"/>
      <c r="C6" s="48"/>
      <c r="N6" s="6"/>
    </row>
    <row r="7" spans="1:33" ht="13" x14ac:dyDescent="0.3">
      <c r="A7" s="1" t="s">
        <v>4</v>
      </c>
      <c r="H7" s="7"/>
      <c r="I7" s="7"/>
      <c r="J7" s="7"/>
      <c r="K7" s="7"/>
      <c r="L7" s="7"/>
      <c r="M7" s="7"/>
      <c r="N7" s="7"/>
      <c r="O7" s="7"/>
      <c r="Q7" s="79" t="s">
        <v>8</v>
      </c>
      <c r="R7" s="80"/>
      <c r="S7" s="80"/>
      <c r="T7" s="80"/>
      <c r="U7" s="81"/>
      <c r="V7" s="79" t="s">
        <v>7</v>
      </c>
      <c r="W7" s="80"/>
      <c r="X7" s="80"/>
      <c r="Y7" s="80"/>
      <c r="Z7" s="81"/>
      <c r="AA7" s="79" t="s">
        <v>6</v>
      </c>
      <c r="AB7" s="80"/>
      <c r="AC7" s="80"/>
      <c r="AD7" s="81"/>
      <c r="AE7" s="79" t="s">
        <v>5</v>
      </c>
      <c r="AF7" s="80"/>
      <c r="AG7" s="81"/>
    </row>
    <row r="8" spans="1:33" ht="12.75" customHeight="1" x14ac:dyDescent="0.25">
      <c r="H8" s="7"/>
      <c r="I8" s="7"/>
      <c r="J8" s="7"/>
      <c r="K8" s="7"/>
      <c r="L8" s="7"/>
      <c r="M8" s="7"/>
      <c r="N8" s="7"/>
      <c r="O8" s="7"/>
      <c r="Q8" s="43"/>
      <c r="R8" s="44"/>
      <c r="S8" s="44"/>
      <c r="T8" s="44"/>
      <c r="U8" s="45"/>
      <c r="V8" s="43"/>
      <c r="W8" s="44"/>
      <c r="X8" s="44"/>
      <c r="Y8" s="44"/>
      <c r="Z8" s="45"/>
      <c r="AA8" s="43"/>
      <c r="AB8" s="44"/>
      <c r="AC8" s="44"/>
      <c r="AD8" s="45"/>
      <c r="AE8" s="43"/>
      <c r="AF8" s="44"/>
      <c r="AG8" s="45"/>
    </row>
    <row r="9" spans="1:33" ht="13" x14ac:dyDescent="0.3">
      <c r="E9" s="61" t="s">
        <v>90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33" ht="12.75" customHeight="1" x14ac:dyDescent="0.25">
      <c r="A10" s="171" t="s">
        <v>50</v>
      </c>
      <c r="B10" s="183" t="s">
        <v>51</v>
      </c>
      <c r="C10" s="184"/>
      <c r="D10" s="184"/>
      <c r="E10" s="184"/>
      <c r="F10" s="185"/>
      <c r="G10" s="174" t="s">
        <v>49</v>
      </c>
      <c r="H10" s="175"/>
      <c r="I10" s="79" t="s">
        <v>38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43" t="s">
        <v>37</v>
      </c>
      <c r="Y10" s="44"/>
      <c r="Z10" s="44"/>
      <c r="AA10" s="44"/>
      <c r="AB10" s="44"/>
      <c r="AC10" s="44"/>
      <c r="AD10" s="44"/>
      <c r="AE10" s="44"/>
      <c r="AF10" s="45"/>
      <c r="AG10" s="129" t="s">
        <v>48</v>
      </c>
    </row>
    <row r="11" spans="1:33" ht="12.75" customHeight="1" x14ac:dyDescent="0.25">
      <c r="A11" s="172"/>
      <c r="B11" s="186"/>
      <c r="C11" s="187"/>
      <c r="D11" s="187"/>
      <c r="E11" s="187"/>
      <c r="F11" s="188"/>
      <c r="G11" s="176"/>
      <c r="H11" s="177"/>
      <c r="I11" s="132" t="s">
        <v>44</v>
      </c>
      <c r="J11" s="133"/>
      <c r="K11" s="133"/>
      <c r="L11" s="134"/>
      <c r="M11" s="79" t="s">
        <v>39</v>
      </c>
      <c r="N11" s="80"/>
      <c r="O11" s="80"/>
      <c r="P11" s="80"/>
      <c r="Q11" s="80"/>
      <c r="R11" s="80"/>
      <c r="S11" s="81"/>
      <c r="T11" s="79" t="s">
        <v>40</v>
      </c>
      <c r="U11" s="80"/>
      <c r="V11" s="80"/>
      <c r="W11" s="81"/>
      <c r="X11" s="132" t="s">
        <v>44</v>
      </c>
      <c r="Y11" s="133"/>
      <c r="Z11" s="134"/>
      <c r="AA11" s="50" t="s">
        <v>45</v>
      </c>
      <c r="AB11" s="52"/>
      <c r="AC11" s="141" t="s">
        <v>46</v>
      </c>
      <c r="AD11" s="142"/>
      <c r="AE11" s="132" t="s">
        <v>47</v>
      </c>
      <c r="AF11" s="134"/>
      <c r="AG11" s="130"/>
    </row>
    <row r="12" spans="1:33" ht="12.75" customHeight="1" x14ac:dyDescent="0.25">
      <c r="A12" s="172"/>
      <c r="B12" s="186"/>
      <c r="C12" s="187"/>
      <c r="D12" s="187"/>
      <c r="E12" s="187"/>
      <c r="F12" s="188"/>
      <c r="G12" s="176"/>
      <c r="H12" s="177"/>
      <c r="I12" s="135"/>
      <c r="J12" s="136"/>
      <c r="K12" s="136"/>
      <c r="L12" s="137"/>
      <c r="M12" s="50" t="s">
        <v>41</v>
      </c>
      <c r="N12" s="51"/>
      <c r="O12" s="52"/>
      <c r="P12" s="65" t="s">
        <v>42</v>
      </c>
      <c r="Q12" s="66"/>
      <c r="R12" s="66"/>
      <c r="S12" s="67"/>
      <c r="T12" s="50" t="s">
        <v>41</v>
      </c>
      <c r="U12" s="52"/>
      <c r="V12" s="50" t="s">
        <v>43</v>
      </c>
      <c r="W12" s="52"/>
      <c r="X12" s="135"/>
      <c r="Y12" s="136"/>
      <c r="Z12" s="137"/>
      <c r="AA12" s="147"/>
      <c r="AB12" s="148"/>
      <c r="AC12" s="143"/>
      <c r="AD12" s="144"/>
      <c r="AE12" s="135"/>
      <c r="AF12" s="137"/>
      <c r="AG12" s="130"/>
    </row>
    <row r="13" spans="1:33" x14ac:dyDescent="0.25">
      <c r="A13" s="173"/>
      <c r="B13" s="189"/>
      <c r="C13" s="190"/>
      <c r="D13" s="190"/>
      <c r="E13" s="190"/>
      <c r="F13" s="191"/>
      <c r="G13" s="178"/>
      <c r="H13" s="179"/>
      <c r="I13" s="138"/>
      <c r="J13" s="139"/>
      <c r="K13" s="139"/>
      <c r="L13" s="140"/>
      <c r="M13" s="53"/>
      <c r="N13" s="54"/>
      <c r="O13" s="55"/>
      <c r="P13" s="180"/>
      <c r="Q13" s="181"/>
      <c r="R13" s="181"/>
      <c r="S13" s="182"/>
      <c r="T13" s="53"/>
      <c r="U13" s="55"/>
      <c r="V13" s="53"/>
      <c r="W13" s="55"/>
      <c r="X13" s="138"/>
      <c r="Y13" s="139"/>
      <c r="Z13" s="140"/>
      <c r="AA13" s="53"/>
      <c r="AB13" s="55"/>
      <c r="AC13" s="145"/>
      <c r="AD13" s="146"/>
      <c r="AE13" s="138"/>
      <c r="AF13" s="140"/>
      <c r="AG13" s="131"/>
    </row>
    <row r="14" spans="1:33" ht="12.75" customHeight="1" x14ac:dyDescent="0.25">
      <c r="A14" s="28"/>
      <c r="B14" s="221"/>
      <c r="C14" s="222"/>
      <c r="D14" s="222"/>
      <c r="E14" s="222"/>
      <c r="F14" s="223"/>
      <c r="G14" s="224"/>
      <c r="H14" s="225"/>
      <c r="I14" s="224"/>
      <c r="J14" s="226"/>
      <c r="K14" s="226"/>
      <c r="L14" s="225"/>
      <c r="M14" s="224"/>
      <c r="N14" s="226"/>
      <c r="O14" s="225"/>
      <c r="P14" s="227"/>
      <c r="Q14" s="228"/>
      <c r="R14" s="228"/>
      <c r="S14" s="229"/>
      <c r="T14" s="65">
        <f>I14*M14</f>
        <v>0</v>
      </c>
      <c r="U14" s="67"/>
      <c r="V14" s="127">
        <f>I14*P14</f>
        <v>0</v>
      </c>
      <c r="W14" s="128"/>
      <c r="X14" s="65">
        <f>I14</f>
        <v>0</v>
      </c>
      <c r="Y14" s="66"/>
      <c r="Z14" s="67"/>
      <c r="AA14" s="65">
        <f>T14</f>
        <v>0</v>
      </c>
      <c r="AB14" s="67"/>
      <c r="AC14" s="65">
        <f>M14</f>
        <v>0</v>
      </c>
      <c r="AD14" s="67"/>
      <c r="AE14" s="127">
        <f>ROUND(V14,2)</f>
        <v>0</v>
      </c>
      <c r="AF14" s="128"/>
      <c r="AG14" s="25"/>
    </row>
    <row r="15" spans="1:33" x14ac:dyDescent="0.25">
      <c r="A15" s="28"/>
      <c r="B15" s="219"/>
      <c r="C15" s="219"/>
      <c r="D15" s="219"/>
      <c r="E15" s="219"/>
      <c r="F15" s="219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127">
        <f>I15*M15</f>
        <v>0</v>
      </c>
      <c r="U15" s="128"/>
      <c r="V15" s="127">
        <f>I15*P15</f>
        <v>0</v>
      </c>
      <c r="W15" s="128"/>
      <c r="X15" s="65">
        <f>I15</f>
        <v>0</v>
      </c>
      <c r="Y15" s="66"/>
      <c r="Z15" s="67"/>
      <c r="AA15" s="127">
        <f>T15</f>
        <v>0</v>
      </c>
      <c r="AB15" s="128"/>
      <c r="AC15" s="65">
        <f>M15</f>
        <v>0</v>
      </c>
      <c r="AD15" s="67"/>
      <c r="AE15" s="127">
        <f>ROUND(V15,2)</f>
        <v>0</v>
      </c>
      <c r="AF15" s="128"/>
      <c r="AG15" s="24"/>
    </row>
    <row r="16" spans="1:33" ht="15.75" customHeight="1" x14ac:dyDescent="0.25">
      <c r="A16" s="27"/>
      <c r="B16" s="213"/>
      <c r="C16" s="214"/>
      <c r="D16" s="214"/>
      <c r="E16" s="214"/>
      <c r="F16" s="215"/>
      <c r="G16" s="216"/>
      <c r="H16" s="217"/>
      <c r="I16" s="216"/>
      <c r="J16" s="218"/>
      <c r="K16" s="218"/>
      <c r="L16" s="217"/>
      <c r="M16" s="216"/>
      <c r="N16" s="218"/>
      <c r="O16" s="217"/>
      <c r="P16" s="216"/>
      <c r="Q16" s="218"/>
      <c r="R16" s="218"/>
      <c r="S16" s="217"/>
      <c r="T16" s="127">
        <f>I16*M16</f>
        <v>0</v>
      </c>
      <c r="U16" s="128"/>
      <c r="V16" s="127">
        <f>I16*P16</f>
        <v>0</v>
      </c>
      <c r="W16" s="128"/>
      <c r="X16" s="65">
        <f>I16</f>
        <v>0</v>
      </c>
      <c r="Y16" s="66"/>
      <c r="Z16" s="67"/>
      <c r="AA16" s="127">
        <f>T16</f>
        <v>0</v>
      </c>
      <c r="AB16" s="128"/>
      <c r="AC16" s="65">
        <f>M16</f>
        <v>0</v>
      </c>
      <c r="AD16" s="67"/>
      <c r="AE16" s="127">
        <f>ROUND(V16,2)</f>
        <v>0</v>
      </c>
      <c r="AF16" s="128"/>
      <c r="AG16" s="24"/>
    </row>
    <row r="17" spans="1:33" ht="12.75" customHeight="1" x14ac:dyDescent="0.25">
      <c r="A17" s="27"/>
      <c r="B17" s="213"/>
      <c r="C17" s="214"/>
      <c r="D17" s="214"/>
      <c r="E17" s="214"/>
      <c r="F17" s="215"/>
      <c r="G17" s="216"/>
      <c r="H17" s="217"/>
      <c r="I17" s="216"/>
      <c r="J17" s="218"/>
      <c r="K17" s="218"/>
      <c r="L17" s="217"/>
      <c r="M17" s="216"/>
      <c r="N17" s="218"/>
      <c r="O17" s="217"/>
      <c r="P17" s="216"/>
      <c r="Q17" s="218"/>
      <c r="R17" s="218"/>
      <c r="S17" s="217"/>
      <c r="T17" s="127">
        <f t="shared" ref="T17:T30" si="0">I17*M17</f>
        <v>0</v>
      </c>
      <c r="U17" s="128"/>
      <c r="V17" s="127">
        <f t="shared" ref="V17:V30" si="1">I17*P17</f>
        <v>0</v>
      </c>
      <c r="W17" s="128"/>
      <c r="X17" s="65">
        <f t="shared" ref="X17:X30" si="2">I17</f>
        <v>0</v>
      </c>
      <c r="Y17" s="66"/>
      <c r="Z17" s="67"/>
      <c r="AA17" s="127">
        <f t="shared" ref="AA17:AA30" si="3">T17</f>
        <v>0</v>
      </c>
      <c r="AB17" s="128"/>
      <c r="AC17" s="65">
        <f t="shared" ref="AC17:AC30" si="4">M17</f>
        <v>0</v>
      </c>
      <c r="AD17" s="67"/>
      <c r="AE17" s="127">
        <f t="shared" ref="AE17:AE30" si="5">ROUND(V17,2)</f>
        <v>0</v>
      </c>
      <c r="AF17" s="128"/>
      <c r="AG17" s="24"/>
    </row>
    <row r="18" spans="1:33" x14ac:dyDescent="0.25">
      <c r="A18" s="27"/>
      <c r="B18" s="213"/>
      <c r="C18" s="214"/>
      <c r="D18" s="214"/>
      <c r="E18" s="214"/>
      <c r="F18" s="215"/>
      <c r="G18" s="216"/>
      <c r="H18" s="217"/>
      <c r="I18" s="216"/>
      <c r="J18" s="218"/>
      <c r="K18" s="218"/>
      <c r="L18" s="217"/>
      <c r="M18" s="216"/>
      <c r="N18" s="218"/>
      <c r="O18" s="217"/>
      <c r="P18" s="216"/>
      <c r="Q18" s="218"/>
      <c r="R18" s="218"/>
      <c r="S18" s="217"/>
      <c r="T18" s="127">
        <f t="shared" si="0"/>
        <v>0</v>
      </c>
      <c r="U18" s="128"/>
      <c r="V18" s="127">
        <f t="shared" si="1"/>
        <v>0</v>
      </c>
      <c r="W18" s="128"/>
      <c r="X18" s="65">
        <f t="shared" si="2"/>
        <v>0</v>
      </c>
      <c r="Y18" s="66"/>
      <c r="Z18" s="67"/>
      <c r="AA18" s="127">
        <f t="shared" si="3"/>
        <v>0</v>
      </c>
      <c r="AB18" s="128"/>
      <c r="AC18" s="65">
        <f t="shared" si="4"/>
        <v>0</v>
      </c>
      <c r="AD18" s="67"/>
      <c r="AE18" s="127">
        <f t="shared" si="5"/>
        <v>0</v>
      </c>
      <c r="AF18" s="128"/>
      <c r="AG18" s="24"/>
    </row>
    <row r="19" spans="1:33" ht="11.25" customHeight="1" x14ac:dyDescent="0.25">
      <c r="A19" s="27"/>
      <c r="B19" s="213"/>
      <c r="C19" s="214"/>
      <c r="D19" s="214"/>
      <c r="E19" s="214"/>
      <c r="F19" s="215"/>
      <c r="G19" s="216"/>
      <c r="H19" s="217"/>
      <c r="I19" s="216"/>
      <c r="J19" s="218"/>
      <c r="K19" s="218"/>
      <c r="L19" s="217"/>
      <c r="M19" s="216"/>
      <c r="N19" s="218"/>
      <c r="O19" s="217"/>
      <c r="P19" s="216"/>
      <c r="Q19" s="218"/>
      <c r="R19" s="218"/>
      <c r="S19" s="217"/>
      <c r="T19" s="127">
        <f t="shared" si="0"/>
        <v>0</v>
      </c>
      <c r="U19" s="128"/>
      <c r="V19" s="127">
        <f t="shared" si="1"/>
        <v>0</v>
      </c>
      <c r="W19" s="128"/>
      <c r="X19" s="65">
        <f t="shared" si="2"/>
        <v>0</v>
      </c>
      <c r="Y19" s="66"/>
      <c r="Z19" s="67"/>
      <c r="AA19" s="127">
        <f t="shared" si="3"/>
        <v>0</v>
      </c>
      <c r="AB19" s="128"/>
      <c r="AC19" s="65">
        <f t="shared" si="4"/>
        <v>0</v>
      </c>
      <c r="AD19" s="67"/>
      <c r="AE19" s="127">
        <f t="shared" si="5"/>
        <v>0</v>
      </c>
      <c r="AF19" s="128"/>
      <c r="AG19" s="24"/>
    </row>
    <row r="20" spans="1:33" ht="0.75" hidden="1" customHeight="1" x14ac:dyDescent="0.25">
      <c r="A20" s="27"/>
      <c r="B20" s="213"/>
      <c r="C20" s="214"/>
      <c r="D20" s="214"/>
      <c r="E20" s="214"/>
      <c r="F20" s="215"/>
      <c r="G20" s="216"/>
      <c r="H20" s="217"/>
      <c r="I20" s="216"/>
      <c r="J20" s="218"/>
      <c r="K20" s="218"/>
      <c r="L20" s="217"/>
      <c r="M20" s="216"/>
      <c r="N20" s="218"/>
      <c r="O20" s="217"/>
      <c r="P20" s="216"/>
      <c r="Q20" s="218"/>
      <c r="R20" s="218"/>
      <c r="S20" s="217"/>
      <c r="T20" s="127">
        <f t="shared" si="0"/>
        <v>0</v>
      </c>
      <c r="U20" s="128"/>
      <c r="V20" s="127">
        <f t="shared" si="1"/>
        <v>0</v>
      </c>
      <c r="W20" s="128"/>
      <c r="X20" s="65">
        <f t="shared" si="2"/>
        <v>0</v>
      </c>
      <c r="Y20" s="66"/>
      <c r="Z20" s="67"/>
      <c r="AA20" s="127">
        <f t="shared" si="3"/>
        <v>0</v>
      </c>
      <c r="AB20" s="128"/>
      <c r="AC20" s="65">
        <f t="shared" si="4"/>
        <v>0</v>
      </c>
      <c r="AD20" s="67"/>
      <c r="AE20" s="127">
        <f t="shared" si="5"/>
        <v>0</v>
      </c>
      <c r="AF20" s="128"/>
      <c r="AG20" s="24"/>
    </row>
    <row r="21" spans="1:33" ht="12.75" customHeight="1" x14ac:dyDescent="0.25">
      <c r="A21" s="27"/>
      <c r="B21" s="213"/>
      <c r="C21" s="214"/>
      <c r="D21" s="214"/>
      <c r="E21" s="214"/>
      <c r="F21" s="215"/>
      <c r="G21" s="216"/>
      <c r="H21" s="217"/>
      <c r="I21" s="216"/>
      <c r="J21" s="218"/>
      <c r="K21" s="218"/>
      <c r="L21" s="217"/>
      <c r="M21" s="216"/>
      <c r="N21" s="218"/>
      <c r="O21" s="217"/>
      <c r="P21" s="216"/>
      <c r="Q21" s="218"/>
      <c r="R21" s="218"/>
      <c r="S21" s="217"/>
      <c r="T21" s="127">
        <f t="shared" si="0"/>
        <v>0</v>
      </c>
      <c r="U21" s="128"/>
      <c r="V21" s="127">
        <f t="shared" si="1"/>
        <v>0</v>
      </c>
      <c r="W21" s="128"/>
      <c r="X21" s="65">
        <f t="shared" si="2"/>
        <v>0</v>
      </c>
      <c r="Y21" s="66"/>
      <c r="Z21" s="67"/>
      <c r="AA21" s="127">
        <f t="shared" si="3"/>
        <v>0</v>
      </c>
      <c r="AB21" s="128"/>
      <c r="AC21" s="65">
        <f t="shared" si="4"/>
        <v>0</v>
      </c>
      <c r="AD21" s="67"/>
      <c r="AE21" s="127">
        <f t="shared" si="5"/>
        <v>0</v>
      </c>
      <c r="AF21" s="128"/>
      <c r="AG21" s="24"/>
    </row>
    <row r="22" spans="1:33" x14ac:dyDescent="0.25">
      <c r="A22" s="27"/>
      <c r="B22" s="213"/>
      <c r="C22" s="214"/>
      <c r="D22" s="214"/>
      <c r="E22" s="214"/>
      <c r="F22" s="215"/>
      <c r="G22" s="216"/>
      <c r="H22" s="217"/>
      <c r="I22" s="216"/>
      <c r="J22" s="218"/>
      <c r="K22" s="218"/>
      <c r="L22" s="217"/>
      <c r="M22" s="216"/>
      <c r="N22" s="218"/>
      <c r="O22" s="217"/>
      <c r="P22" s="216"/>
      <c r="Q22" s="218"/>
      <c r="R22" s="218"/>
      <c r="S22" s="217"/>
      <c r="T22" s="127">
        <f t="shared" si="0"/>
        <v>0</v>
      </c>
      <c r="U22" s="128"/>
      <c r="V22" s="127">
        <f t="shared" si="1"/>
        <v>0</v>
      </c>
      <c r="W22" s="128"/>
      <c r="X22" s="65">
        <f t="shared" si="2"/>
        <v>0</v>
      </c>
      <c r="Y22" s="66"/>
      <c r="Z22" s="67"/>
      <c r="AA22" s="127">
        <f t="shared" si="3"/>
        <v>0</v>
      </c>
      <c r="AB22" s="128"/>
      <c r="AC22" s="65">
        <f t="shared" si="4"/>
        <v>0</v>
      </c>
      <c r="AD22" s="67"/>
      <c r="AE22" s="127">
        <f t="shared" si="5"/>
        <v>0</v>
      </c>
      <c r="AF22" s="128"/>
      <c r="AG22" s="24"/>
    </row>
    <row r="23" spans="1:33" x14ac:dyDescent="0.25">
      <c r="A23" s="27"/>
      <c r="B23" s="213"/>
      <c r="C23" s="214"/>
      <c r="D23" s="214"/>
      <c r="E23" s="214"/>
      <c r="F23" s="215"/>
      <c r="G23" s="216"/>
      <c r="H23" s="217"/>
      <c r="I23" s="216"/>
      <c r="J23" s="218"/>
      <c r="K23" s="218"/>
      <c r="L23" s="217"/>
      <c r="M23" s="216"/>
      <c r="N23" s="218"/>
      <c r="O23" s="217"/>
      <c r="P23" s="216"/>
      <c r="Q23" s="218"/>
      <c r="R23" s="218"/>
      <c r="S23" s="217"/>
      <c r="T23" s="127">
        <f>I23*M23</f>
        <v>0</v>
      </c>
      <c r="U23" s="128"/>
      <c r="V23" s="127">
        <f>I23*P23</f>
        <v>0</v>
      </c>
      <c r="W23" s="128"/>
      <c r="X23" s="65">
        <f>I23</f>
        <v>0</v>
      </c>
      <c r="Y23" s="66"/>
      <c r="Z23" s="67"/>
      <c r="AA23" s="127">
        <f>T23</f>
        <v>0</v>
      </c>
      <c r="AB23" s="128"/>
      <c r="AC23" s="65">
        <f>M23</f>
        <v>0</v>
      </c>
      <c r="AD23" s="67"/>
      <c r="AE23" s="127">
        <f>ROUND(V23,2)</f>
        <v>0</v>
      </c>
      <c r="AF23" s="128"/>
      <c r="AG23" s="24"/>
    </row>
    <row r="24" spans="1:33" ht="12.75" customHeight="1" x14ac:dyDescent="0.25">
      <c r="A24" s="27"/>
      <c r="B24" s="213"/>
      <c r="C24" s="214"/>
      <c r="D24" s="214"/>
      <c r="E24" s="214"/>
      <c r="F24" s="215"/>
      <c r="G24" s="216"/>
      <c r="H24" s="217"/>
      <c r="I24" s="216"/>
      <c r="J24" s="218"/>
      <c r="K24" s="218"/>
      <c r="L24" s="217"/>
      <c r="M24" s="216"/>
      <c r="N24" s="218"/>
      <c r="O24" s="217"/>
      <c r="P24" s="216"/>
      <c r="Q24" s="218"/>
      <c r="R24" s="218"/>
      <c r="S24" s="217"/>
      <c r="T24" s="127">
        <f>I24*M24</f>
        <v>0</v>
      </c>
      <c r="U24" s="128"/>
      <c r="V24" s="127">
        <f>I24*P24</f>
        <v>0</v>
      </c>
      <c r="W24" s="128"/>
      <c r="X24" s="65">
        <f>I24</f>
        <v>0</v>
      </c>
      <c r="Y24" s="66"/>
      <c r="Z24" s="67"/>
      <c r="AA24" s="127">
        <f>T24</f>
        <v>0</v>
      </c>
      <c r="AB24" s="128"/>
      <c r="AC24" s="65">
        <f>M24</f>
        <v>0</v>
      </c>
      <c r="AD24" s="67"/>
      <c r="AE24" s="127">
        <f>ROUND(V24,2)</f>
        <v>0</v>
      </c>
      <c r="AF24" s="128"/>
      <c r="AG24" s="24"/>
    </row>
    <row r="25" spans="1:33" ht="12.75" customHeight="1" x14ac:dyDescent="0.25">
      <c r="A25" s="27"/>
      <c r="B25" s="213"/>
      <c r="C25" s="214"/>
      <c r="D25" s="214"/>
      <c r="E25" s="214"/>
      <c r="F25" s="215"/>
      <c r="G25" s="216"/>
      <c r="H25" s="217"/>
      <c r="I25" s="216"/>
      <c r="J25" s="218"/>
      <c r="K25" s="218"/>
      <c r="L25" s="217"/>
      <c r="M25" s="216"/>
      <c r="N25" s="218"/>
      <c r="O25" s="217"/>
      <c r="P25" s="216"/>
      <c r="Q25" s="218"/>
      <c r="R25" s="218"/>
      <c r="S25" s="217"/>
      <c r="T25" s="127">
        <f t="shared" si="0"/>
        <v>0</v>
      </c>
      <c r="U25" s="128"/>
      <c r="V25" s="127">
        <f t="shared" si="1"/>
        <v>0</v>
      </c>
      <c r="W25" s="128"/>
      <c r="X25" s="65">
        <f t="shared" si="2"/>
        <v>0</v>
      </c>
      <c r="Y25" s="66"/>
      <c r="Z25" s="67"/>
      <c r="AA25" s="127">
        <f t="shared" si="3"/>
        <v>0</v>
      </c>
      <c r="AB25" s="128"/>
      <c r="AC25" s="65">
        <f t="shared" si="4"/>
        <v>0</v>
      </c>
      <c r="AD25" s="67"/>
      <c r="AE25" s="127">
        <f t="shared" si="5"/>
        <v>0</v>
      </c>
      <c r="AF25" s="128"/>
      <c r="AG25" s="24"/>
    </row>
    <row r="26" spans="1:33" x14ac:dyDescent="0.25">
      <c r="A26" s="27"/>
      <c r="B26" s="213"/>
      <c r="C26" s="214"/>
      <c r="D26" s="214"/>
      <c r="E26" s="214"/>
      <c r="F26" s="215"/>
      <c r="G26" s="216"/>
      <c r="H26" s="217"/>
      <c r="I26" s="216"/>
      <c r="J26" s="218"/>
      <c r="K26" s="218"/>
      <c r="L26" s="217"/>
      <c r="M26" s="216"/>
      <c r="N26" s="218"/>
      <c r="O26" s="217"/>
      <c r="P26" s="216"/>
      <c r="Q26" s="218"/>
      <c r="R26" s="218"/>
      <c r="S26" s="217"/>
      <c r="T26" s="127">
        <f t="shared" si="0"/>
        <v>0</v>
      </c>
      <c r="U26" s="128"/>
      <c r="V26" s="127">
        <f t="shared" si="1"/>
        <v>0</v>
      </c>
      <c r="W26" s="128"/>
      <c r="X26" s="65">
        <f t="shared" si="2"/>
        <v>0</v>
      </c>
      <c r="Y26" s="66"/>
      <c r="Z26" s="67"/>
      <c r="AA26" s="127">
        <f t="shared" si="3"/>
        <v>0</v>
      </c>
      <c r="AB26" s="128"/>
      <c r="AC26" s="65">
        <f t="shared" si="4"/>
        <v>0</v>
      </c>
      <c r="AD26" s="67"/>
      <c r="AE26" s="127">
        <f t="shared" si="5"/>
        <v>0</v>
      </c>
      <c r="AF26" s="128"/>
      <c r="AG26" s="24"/>
    </row>
    <row r="27" spans="1:33" ht="12.75" customHeight="1" x14ac:dyDescent="0.25">
      <c r="A27" s="27"/>
      <c r="B27" s="213"/>
      <c r="C27" s="214"/>
      <c r="D27" s="214"/>
      <c r="E27" s="214"/>
      <c r="F27" s="215"/>
      <c r="G27" s="216"/>
      <c r="H27" s="217"/>
      <c r="I27" s="216"/>
      <c r="J27" s="218"/>
      <c r="K27" s="218"/>
      <c r="L27" s="217"/>
      <c r="M27" s="216"/>
      <c r="N27" s="218"/>
      <c r="O27" s="217"/>
      <c r="P27" s="216"/>
      <c r="Q27" s="218"/>
      <c r="R27" s="218"/>
      <c r="S27" s="217"/>
      <c r="T27" s="127">
        <f t="shared" si="0"/>
        <v>0</v>
      </c>
      <c r="U27" s="128"/>
      <c r="V27" s="127">
        <f t="shared" si="1"/>
        <v>0</v>
      </c>
      <c r="W27" s="128"/>
      <c r="X27" s="65">
        <f t="shared" si="2"/>
        <v>0</v>
      </c>
      <c r="Y27" s="66"/>
      <c r="Z27" s="67"/>
      <c r="AA27" s="127">
        <f t="shared" si="3"/>
        <v>0</v>
      </c>
      <c r="AB27" s="128"/>
      <c r="AC27" s="65">
        <f t="shared" si="4"/>
        <v>0</v>
      </c>
      <c r="AD27" s="67"/>
      <c r="AE27" s="127">
        <f t="shared" si="5"/>
        <v>0</v>
      </c>
      <c r="AF27" s="128"/>
      <c r="AG27" s="24"/>
    </row>
    <row r="28" spans="1:33" x14ac:dyDescent="0.25">
      <c r="A28" s="27"/>
      <c r="B28" s="213"/>
      <c r="C28" s="214"/>
      <c r="D28" s="214"/>
      <c r="E28" s="214"/>
      <c r="F28" s="215"/>
      <c r="G28" s="216"/>
      <c r="H28" s="217"/>
      <c r="I28" s="216"/>
      <c r="J28" s="218"/>
      <c r="K28" s="218"/>
      <c r="L28" s="217"/>
      <c r="M28" s="216"/>
      <c r="N28" s="218"/>
      <c r="O28" s="217"/>
      <c r="P28" s="216"/>
      <c r="Q28" s="218"/>
      <c r="R28" s="218"/>
      <c r="S28" s="217"/>
      <c r="T28" s="127">
        <f t="shared" si="0"/>
        <v>0</v>
      </c>
      <c r="U28" s="128"/>
      <c r="V28" s="127">
        <f t="shared" si="1"/>
        <v>0</v>
      </c>
      <c r="W28" s="128"/>
      <c r="X28" s="65">
        <f t="shared" si="2"/>
        <v>0</v>
      </c>
      <c r="Y28" s="66"/>
      <c r="Z28" s="67"/>
      <c r="AA28" s="127">
        <f t="shared" si="3"/>
        <v>0</v>
      </c>
      <c r="AB28" s="128"/>
      <c r="AC28" s="65">
        <f t="shared" si="4"/>
        <v>0</v>
      </c>
      <c r="AD28" s="67"/>
      <c r="AE28" s="127">
        <f t="shared" si="5"/>
        <v>0</v>
      </c>
      <c r="AF28" s="128"/>
      <c r="AG28" s="24"/>
    </row>
    <row r="29" spans="1:33" ht="12.75" customHeight="1" x14ac:dyDescent="0.25">
      <c r="A29" s="27"/>
      <c r="B29" s="213"/>
      <c r="C29" s="214"/>
      <c r="D29" s="214"/>
      <c r="E29" s="214"/>
      <c r="F29" s="215"/>
      <c r="G29" s="216"/>
      <c r="H29" s="217"/>
      <c r="I29" s="216"/>
      <c r="J29" s="218"/>
      <c r="K29" s="218"/>
      <c r="L29" s="217"/>
      <c r="M29" s="216"/>
      <c r="N29" s="218"/>
      <c r="O29" s="217"/>
      <c r="P29" s="216"/>
      <c r="Q29" s="218"/>
      <c r="R29" s="218"/>
      <c r="S29" s="217"/>
      <c r="T29" s="127">
        <f t="shared" si="0"/>
        <v>0</v>
      </c>
      <c r="U29" s="128"/>
      <c r="V29" s="127">
        <f t="shared" si="1"/>
        <v>0</v>
      </c>
      <c r="W29" s="128"/>
      <c r="X29" s="65">
        <f t="shared" si="2"/>
        <v>0</v>
      </c>
      <c r="Y29" s="66"/>
      <c r="Z29" s="67"/>
      <c r="AA29" s="127">
        <f t="shared" si="3"/>
        <v>0</v>
      </c>
      <c r="AB29" s="128"/>
      <c r="AC29" s="65">
        <f t="shared" si="4"/>
        <v>0</v>
      </c>
      <c r="AD29" s="67"/>
      <c r="AE29" s="127">
        <f t="shared" si="5"/>
        <v>0</v>
      </c>
      <c r="AF29" s="128"/>
      <c r="AG29" s="24"/>
    </row>
    <row r="30" spans="1:33" ht="12.75" customHeight="1" x14ac:dyDescent="0.25">
      <c r="A30" s="27"/>
      <c r="B30" s="213"/>
      <c r="C30" s="214"/>
      <c r="D30" s="214"/>
      <c r="E30" s="214"/>
      <c r="F30" s="215"/>
      <c r="G30" s="216"/>
      <c r="H30" s="217"/>
      <c r="I30" s="216"/>
      <c r="J30" s="218"/>
      <c r="K30" s="218"/>
      <c r="L30" s="217"/>
      <c r="M30" s="216"/>
      <c r="N30" s="218"/>
      <c r="O30" s="217"/>
      <c r="P30" s="216"/>
      <c r="Q30" s="218"/>
      <c r="R30" s="218"/>
      <c r="S30" s="217"/>
      <c r="T30" s="127">
        <f t="shared" si="0"/>
        <v>0</v>
      </c>
      <c r="U30" s="128"/>
      <c r="V30" s="127">
        <f t="shared" si="1"/>
        <v>0</v>
      </c>
      <c r="W30" s="128"/>
      <c r="X30" s="65">
        <f t="shared" si="2"/>
        <v>0</v>
      </c>
      <c r="Y30" s="66"/>
      <c r="Z30" s="67"/>
      <c r="AA30" s="127">
        <f t="shared" si="3"/>
        <v>0</v>
      </c>
      <c r="AB30" s="128"/>
      <c r="AC30" s="65">
        <f t="shared" si="4"/>
        <v>0</v>
      </c>
      <c r="AD30" s="67"/>
      <c r="AE30" s="127">
        <f t="shared" si="5"/>
        <v>0</v>
      </c>
      <c r="AF30" s="128"/>
      <c r="AG30" s="24"/>
    </row>
    <row r="31" spans="1:33" x14ac:dyDescent="0.25">
      <c r="A31" s="29"/>
      <c r="B31" s="207"/>
      <c r="C31" s="208"/>
      <c r="D31" s="208"/>
      <c r="E31" s="208"/>
      <c r="F31" s="209"/>
      <c r="G31" s="210"/>
      <c r="H31" s="211"/>
      <c r="I31" s="210"/>
      <c r="J31" s="212"/>
      <c r="K31" s="212"/>
      <c r="L31" s="211"/>
      <c r="M31" s="210"/>
      <c r="N31" s="212"/>
      <c r="O31" s="211"/>
      <c r="P31" s="210"/>
      <c r="Q31" s="212"/>
      <c r="R31" s="212"/>
      <c r="S31" s="211"/>
      <c r="T31" s="79">
        <f>I31*M31</f>
        <v>0</v>
      </c>
      <c r="U31" s="81"/>
      <c r="V31" s="124">
        <f>I31*P31</f>
        <v>0</v>
      </c>
      <c r="W31" s="125"/>
      <c r="X31" s="79">
        <f>I31</f>
        <v>0</v>
      </c>
      <c r="Y31" s="80"/>
      <c r="Z31" s="81"/>
      <c r="AA31" s="79">
        <f>T31</f>
        <v>0</v>
      </c>
      <c r="AB31" s="81"/>
      <c r="AC31" s="79">
        <f>M31</f>
        <v>0</v>
      </c>
      <c r="AD31" s="81"/>
      <c r="AE31" s="124">
        <f>ROUND(V31,2)</f>
        <v>0</v>
      </c>
      <c r="AF31" s="125"/>
      <c r="AG31" s="3"/>
    </row>
    <row r="32" spans="1:33" ht="13" x14ac:dyDescent="0.3">
      <c r="AB32" s="119" t="s">
        <v>52</v>
      </c>
      <c r="AC32" s="119"/>
      <c r="AD32" s="120"/>
      <c r="AE32" s="117">
        <f>SUM(AE14:AF31)</f>
        <v>0</v>
      </c>
      <c r="AF32" s="118"/>
    </row>
    <row r="34" spans="1:33" x14ac:dyDescent="0.25">
      <c r="B34" s="46" t="s">
        <v>77</v>
      </c>
      <c r="C34" s="46"/>
      <c r="D34" s="46"/>
      <c r="E34" s="46"/>
      <c r="F34" s="46"/>
      <c r="G34" s="47" t="str">
        <f>I4</f>
        <v>Июль</v>
      </c>
      <c r="H34" s="47"/>
      <c r="I34" s="47"/>
      <c r="J34" s="47"/>
      <c r="K34" s="47">
        <f>Q4</f>
        <v>2025</v>
      </c>
      <c r="L34" s="47"/>
      <c r="M34" s="9" t="s">
        <v>76</v>
      </c>
      <c r="T34" s="46" t="s">
        <v>78</v>
      </c>
      <c r="U34" s="46"/>
      <c r="V34" s="46"/>
      <c r="W34" s="46"/>
      <c r="X34" s="46"/>
      <c r="Y34" s="46"/>
      <c r="Z34" s="46"/>
      <c r="AA34" s="46"/>
      <c r="AB34" s="46"/>
      <c r="AC34" s="33" t="str">
        <f>I4</f>
        <v>Июль</v>
      </c>
      <c r="AD34" s="9">
        <f>Q4</f>
        <v>2025</v>
      </c>
      <c r="AE34" s="9" t="s">
        <v>76</v>
      </c>
      <c r="AF34" s="9"/>
    </row>
    <row r="35" spans="1:33" x14ac:dyDescent="0.25">
      <c r="D35" s="46" t="s">
        <v>67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 spans="1:33" x14ac:dyDescent="0.25">
      <c r="B36" s="46" t="s">
        <v>82</v>
      </c>
      <c r="C36" s="46"/>
      <c r="D36" s="46"/>
      <c r="E36" s="46"/>
      <c r="F36" s="46"/>
      <c r="G36" s="47" t="str">
        <f>I4</f>
        <v>Июль</v>
      </c>
      <c r="H36" s="47"/>
      <c r="I36" s="47"/>
      <c r="J36" s="47"/>
      <c r="K36" s="47">
        <f>Q4</f>
        <v>2025</v>
      </c>
      <c r="L36" s="47"/>
      <c r="M36" s="9" t="s">
        <v>76</v>
      </c>
      <c r="T36" s="47" t="s">
        <v>80</v>
      </c>
      <c r="U36" s="47"/>
      <c r="V36" s="47"/>
      <c r="W36" s="47"/>
      <c r="X36" s="47"/>
      <c r="Y36" s="47"/>
      <c r="Z36" s="47"/>
      <c r="AA36" s="47"/>
      <c r="AB36" s="47"/>
      <c r="AC36" s="33" t="str">
        <f>I4</f>
        <v>Июль</v>
      </c>
      <c r="AD36" s="9">
        <f>Q4</f>
        <v>2025</v>
      </c>
      <c r="AE36" s="9" t="s">
        <v>76</v>
      </c>
      <c r="AF36" s="9"/>
    </row>
    <row r="37" spans="1:33" x14ac:dyDescent="0.25">
      <c r="B37" s="31"/>
      <c r="C37" s="31"/>
      <c r="D37" s="31"/>
      <c r="E37" s="31"/>
      <c r="F37" s="31"/>
      <c r="G37" s="30"/>
      <c r="H37" s="30"/>
      <c r="I37" s="30"/>
      <c r="J37" s="30"/>
      <c r="K37" s="30"/>
      <c r="L37" s="30"/>
      <c r="M37" s="9"/>
      <c r="T37" s="30"/>
      <c r="U37" s="30"/>
      <c r="V37" s="30"/>
      <c r="W37" s="30"/>
      <c r="X37" s="30"/>
      <c r="Y37" s="30"/>
      <c r="Z37" s="30"/>
      <c r="AA37" s="30"/>
      <c r="AB37" s="30"/>
      <c r="AC37" s="9"/>
      <c r="AD37" s="9"/>
      <c r="AE37" s="9"/>
      <c r="AF37" s="9"/>
    </row>
    <row r="38" spans="1:33" x14ac:dyDescent="0.25">
      <c r="B38" s="47" t="str">
        <f>ИТОГО!B38</f>
        <v xml:space="preserve">Нормы, расценки и сумма заработной платы проверил экономист: Яцевич Н. Г.  ____________________                    ________________________ " _____ " 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9">
        <f>Q4</f>
        <v>2025</v>
      </c>
      <c r="AG38" s="1" t="s">
        <v>76</v>
      </c>
    </row>
    <row r="40" spans="1:33" x14ac:dyDescent="0.25">
      <c r="B40" s="46" t="s">
        <v>72</v>
      </c>
      <c r="C40" s="46"/>
      <c r="D40" s="46"/>
      <c r="E40" s="46"/>
      <c r="F40" s="46"/>
      <c r="G40" s="46"/>
      <c r="H40" s="46"/>
    </row>
    <row r="42" spans="1:33" ht="13" x14ac:dyDescent="0.3">
      <c r="D42" s="60" t="s">
        <v>70</v>
      </c>
      <c r="E42" s="60"/>
      <c r="F42" s="60"/>
      <c r="G42" s="60"/>
      <c r="H42" s="60"/>
      <c r="I42" s="60"/>
      <c r="J42" s="61" t="str">
        <f>I4</f>
        <v>Июль</v>
      </c>
      <c r="K42" s="61"/>
      <c r="L42" s="61"/>
      <c r="M42" s="61"/>
      <c r="N42" s="61"/>
      <c r="O42" s="61"/>
      <c r="P42" s="62">
        <f>Q4</f>
        <v>2025</v>
      </c>
      <c r="Q42" s="62"/>
      <c r="R42" s="62"/>
      <c r="S42" s="62"/>
    </row>
    <row r="43" spans="1:33" ht="12.75" customHeight="1" x14ac:dyDescent="0.25">
      <c r="A43" s="160" t="s">
        <v>27</v>
      </c>
      <c r="B43" s="110" t="s">
        <v>26</v>
      </c>
      <c r="C43" s="164" t="s">
        <v>25</v>
      </c>
      <c r="D43" s="43" t="s">
        <v>9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5"/>
      <c r="T43" s="43" t="s">
        <v>10</v>
      </c>
      <c r="U43" s="44"/>
      <c r="V43" s="44"/>
      <c r="W43" s="44"/>
      <c r="X43" s="45"/>
      <c r="Y43" s="43" t="s">
        <v>11</v>
      </c>
      <c r="Z43" s="44"/>
      <c r="AA43" s="45"/>
      <c r="AB43" s="43" t="s">
        <v>12</v>
      </c>
      <c r="AC43" s="44"/>
      <c r="AD43" s="44"/>
      <c r="AE43" s="44"/>
      <c r="AF43" s="44"/>
      <c r="AG43" s="45"/>
    </row>
    <row r="44" spans="1:33" ht="18" customHeight="1" x14ac:dyDescent="0.25">
      <c r="A44" s="166"/>
      <c r="B44" s="111"/>
      <c r="C44" s="167"/>
      <c r="D44" s="10">
        <v>1</v>
      </c>
      <c r="E44" s="10">
        <v>2</v>
      </c>
      <c r="F44" s="10">
        <v>3</v>
      </c>
      <c r="G44" s="11">
        <v>4</v>
      </c>
      <c r="H44" s="10">
        <v>5</v>
      </c>
      <c r="I44" s="10">
        <v>6</v>
      </c>
      <c r="J44" s="10">
        <v>7</v>
      </c>
      <c r="K44" s="10">
        <v>8</v>
      </c>
      <c r="L44" s="10">
        <v>9</v>
      </c>
      <c r="M44" s="10">
        <v>10</v>
      </c>
      <c r="N44" s="10">
        <v>11</v>
      </c>
      <c r="O44" s="11">
        <v>12</v>
      </c>
      <c r="P44" s="10">
        <v>13</v>
      </c>
      <c r="Q44" s="10">
        <v>14</v>
      </c>
      <c r="R44" s="10">
        <v>15</v>
      </c>
      <c r="S44" s="8" t="s">
        <v>13</v>
      </c>
      <c r="T44" s="157" t="s">
        <v>14</v>
      </c>
      <c r="U44" s="158"/>
      <c r="V44" s="159"/>
      <c r="W44" s="160" t="s">
        <v>18</v>
      </c>
      <c r="X44" s="153" t="s">
        <v>19</v>
      </c>
      <c r="Y44" s="193" t="s">
        <v>15</v>
      </c>
      <c r="Z44" s="162" t="s">
        <v>20</v>
      </c>
      <c r="AA44" s="164" t="s">
        <v>19</v>
      </c>
      <c r="AB44" s="43" t="s">
        <v>21</v>
      </c>
      <c r="AC44" s="44"/>
      <c r="AD44" s="44"/>
      <c r="AE44" s="45"/>
      <c r="AF44" s="202" t="s">
        <v>23</v>
      </c>
      <c r="AG44" s="200" t="s">
        <v>24</v>
      </c>
    </row>
    <row r="45" spans="1:33" ht="18" customHeight="1" x14ac:dyDescent="0.25">
      <c r="A45" s="161"/>
      <c r="B45" s="112"/>
      <c r="C45" s="165"/>
      <c r="D45" s="10">
        <v>16</v>
      </c>
      <c r="E45" s="10">
        <v>17</v>
      </c>
      <c r="F45" s="10">
        <v>18</v>
      </c>
      <c r="G45" s="10">
        <v>19</v>
      </c>
      <c r="H45" s="10">
        <v>20</v>
      </c>
      <c r="I45" s="10">
        <v>21</v>
      </c>
      <c r="J45" s="10">
        <v>22</v>
      </c>
      <c r="K45" s="10">
        <v>23</v>
      </c>
      <c r="L45" s="10">
        <v>24</v>
      </c>
      <c r="M45" s="10">
        <v>25</v>
      </c>
      <c r="N45" s="10">
        <v>26</v>
      </c>
      <c r="O45" s="10">
        <v>27</v>
      </c>
      <c r="P45" s="10">
        <v>28</v>
      </c>
      <c r="Q45" s="10">
        <v>29</v>
      </c>
      <c r="R45" s="10">
        <v>30</v>
      </c>
      <c r="S45" s="10">
        <v>31</v>
      </c>
      <c r="T45" s="12" t="s">
        <v>15</v>
      </c>
      <c r="U45" s="13" t="s">
        <v>16</v>
      </c>
      <c r="V45" s="13" t="s">
        <v>17</v>
      </c>
      <c r="W45" s="161"/>
      <c r="X45" s="154"/>
      <c r="Y45" s="194"/>
      <c r="Z45" s="163"/>
      <c r="AA45" s="165"/>
      <c r="AB45" s="14" t="s">
        <v>15</v>
      </c>
      <c r="AC45" s="12" t="s">
        <v>22</v>
      </c>
      <c r="AD45" s="12" t="s">
        <v>17</v>
      </c>
      <c r="AE45" s="12" t="s">
        <v>18</v>
      </c>
      <c r="AF45" s="203"/>
      <c r="AG45" s="201"/>
    </row>
    <row r="46" spans="1:33" x14ac:dyDescent="0.25">
      <c r="A46" s="57">
        <v>1</v>
      </c>
      <c r="B46" s="235" t="str">
        <f>ИТОГО!B46</f>
        <v>Федюк В. В</v>
      </c>
      <c r="C46" s="233">
        <f>ИТОГО!C46</f>
        <v>6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69">
        <f>SUM(D46:S47)</f>
        <v>0</v>
      </c>
      <c r="U46" s="57"/>
      <c r="V46" s="57"/>
      <c r="W46" s="155"/>
      <c r="X46" s="69">
        <f>SUM(T46:W47)</f>
        <v>0</v>
      </c>
      <c r="Y46" s="115">
        <f>COUNT(D46:S47)</f>
        <v>0</v>
      </c>
      <c r="Z46" s="57"/>
      <c r="AA46" s="57">
        <f>SUM(Y46:Z47)</f>
        <v>0</v>
      </c>
      <c r="AB46" s="57"/>
      <c r="AC46" s="57"/>
      <c r="AD46" s="57"/>
      <c r="AE46" s="57"/>
      <c r="AF46" s="57"/>
      <c r="AG46" s="113">
        <f>AE94</f>
        <v>0</v>
      </c>
    </row>
    <row r="47" spans="1:33" x14ac:dyDescent="0.25">
      <c r="A47" s="58"/>
      <c r="B47" s="236"/>
      <c r="C47" s="23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70"/>
      <c r="U47" s="58"/>
      <c r="V47" s="58"/>
      <c r="W47" s="156"/>
      <c r="X47" s="70"/>
      <c r="Y47" s="116"/>
      <c r="Z47" s="58"/>
      <c r="AA47" s="58"/>
      <c r="AB47" s="58"/>
      <c r="AC47" s="58"/>
      <c r="AD47" s="58"/>
      <c r="AE47" s="58"/>
      <c r="AF47" s="58"/>
      <c r="AG47" s="114"/>
    </row>
    <row r="48" spans="1:33" x14ac:dyDescent="0.25">
      <c r="A48" s="57">
        <v>2</v>
      </c>
      <c r="B48" s="235" t="str">
        <f>ИТОГО!B48</f>
        <v>Лисай И. М.</v>
      </c>
      <c r="C48" s="233">
        <f>ИТОГО!C48</f>
        <v>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69">
        <f>SUM(D48:S49)</f>
        <v>0</v>
      </c>
      <c r="U48" s="57"/>
      <c r="V48" s="57"/>
      <c r="W48" s="57"/>
      <c r="X48" s="69">
        <f>SUM(T48:W49)</f>
        <v>0</v>
      </c>
      <c r="Y48" s="115">
        <f>COUNT(D48:S49)</f>
        <v>0</v>
      </c>
      <c r="Z48" s="57"/>
      <c r="AA48" s="57">
        <f>SUM(Y48:Z49)</f>
        <v>0</v>
      </c>
      <c r="AB48" s="57"/>
      <c r="AC48" s="57"/>
      <c r="AD48" s="57"/>
      <c r="AE48" s="57"/>
      <c r="AF48" s="57"/>
      <c r="AG48" s="113">
        <f>AE95</f>
        <v>0</v>
      </c>
    </row>
    <row r="49" spans="1:33" x14ac:dyDescent="0.25">
      <c r="A49" s="58"/>
      <c r="B49" s="236"/>
      <c r="C49" s="23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70"/>
      <c r="U49" s="58"/>
      <c r="V49" s="58"/>
      <c r="W49" s="58"/>
      <c r="X49" s="70"/>
      <c r="Y49" s="116"/>
      <c r="Z49" s="58"/>
      <c r="AA49" s="58"/>
      <c r="AB49" s="58"/>
      <c r="AC49" s="58"/>
      <c r="AD49" s="58"/>
      <c r="AE49" s="58"/>
      <c r="AF49" s="58"/>
      <c r="AG49" s="114"/>
    </row>
    <row r="50" spans="1:33" x14ac:dyDescent="0.25">
      <c r="A50" s="57">
        <v>3</v>
      </c>
      <c r="B50" s="235" t="str">
        <f>ИТОГО!B50</f>
        <v>Хилимончик Н. В.</v>
      </c>
      <c r="C50" s="233">
        <f>ИТОГО!C50</f>
        <v>6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69">
        <f>SUM(D50:S51)</f>
        <v>0</v>
      </c>
      <c r="U50" s="57"/>
      <c r="V50" s="57"/>
      <c r="W50" s="57"/>
      <c r="X50" s="69">
        <f>SUM(T50:W51)</f>
        <v>0</v>
      </c>
      <c r="Y50" s="115">
        <f>COUNT(D50:S51)</f>
        <v>0</v>
      </c>
      <c r="Z50" s="57"/>
      <c r="AA50" s="57">
        <f>SUM(Y50:Z51)</f>
        <v>0</v>
      </c>
      <c r="AB50" s="57"/>
      <c r="AC50" s="57"/>
      <c r="AD50" s="57"/>
      <c r="AE50" s="57"/>
      <c r="AF50" s="57"/>
      <c r="AG50" s="113">
        <f>AE96</f>
        <v>0</v>
      </c>
    </row>
    <row r="51" spans="1:33" x14ac:dyDescent="0.25">
      <c r="A51" s="58"/>
      <c r="B51" s="236"/>
      <c r="C51" s="23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70"/>
      <c r="U51" s="58"/>
      <c r="V51" s="58"/>
      <c r="W51" s="58"/>
      <c r="X51" s="70"/>
      <c r="Y51" s="116"/>
      <c r="Z51" s="58"/>
      <c r="AA51" s="58"/>
      <c r="AB51" s="58"/>
      <c r="AC51" s="58"/>
      <c r="AD51" s="58"/>
      <c r="AE51" s="58"/>
      <c r="AF51" s="58"/>
      <c r="AG51" s="114"/>
    </row>
    <row r="52" spans="1:33" x14ac:dyDescent="0.25">
      <c r="A52" s="57">
        <v>4</v>
      </c>
      <c r="B52" s="235" t="str">
        <f>ИТОГО!B52</f>
        <v>Сильванович А. С.</v>
      </c>
      <c r="C52" s="233">
        <f>ИТОГО!C52</f>
        <v>5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69">
        <f>SUM(D52:S53)</f>
        <v>0</v>
      </c>
      <c r="U52" s="57"/>
      <c r="V52" s="57"/>
      <c r="W52" s="57"/>
      <c r="X52" s="69">
        <f>SUM(T52:W53)</f>
        <v>0</v>
      </c>
      <c r="Y52" s="115">
        <f>COUNT(D52:S53)</f>
        <v>0</v>
      </c>
      <c r="Z52" s="57"/>
      <c r="AA52" s="57">
        <f>SUM(Y52:Z53)</f>
        <v>0</v>
      </c>
      <c r="AB52" s="57"/>
      <c r="AC52" s="57"/>
      <c r="AD52" s="57"/>
      <c r="AE52" s="57"/>
      <c r="AF52" s="57"/>
      <c r="AG52" s="113">
        <f>AE97</f>
        <v>0</v>
      </c>
    </row>
    <row r="53" spans="1:33" x14ac:dyDescent="0.25">
      <c r="A53" s="58"/>
      <c r="B53" s="236"/>
      <c r="C53" s="23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70"/>
      <c r="U53" s="58"/>
      <c r="V53" s="58"/>
      <c r="W53" s="58"/>
      <c r="X53" s="70"/>
      <c r="Y53" s="116"/>
      <c r="Z53" s="58"/>
      <c r="AA53" s="58"/>
      <c r="AB53" s="58"/>
      <c r="AC53" s="58"/>
      <c r="AD53" s="58"/>
      <c r="AE53" s="58"/>
      <c r="AF53" s="58"/>
      <c r="AG53" s="114"/>
    </row>
    <row r="54" spans="1:33" x14ac:dyDescent="0.25">
      <c r="A54" s="57">
        <v>5</v>
      </c>
      <c r="B54" s="235" t="str">
        <f>ИТОГО!B54</f>
        <v>Масюкевич Ю В.</v>
      </c>
      <c r="C54" s="233">
        <f>ИТОГО!C54</f>
        <v>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69">
        <f>SUM(D54:S55)</f>
        <v>0</v>
      </c>
      <c r="U54" s="57"/>
      <c r="V54" s="57"/>
      <c r="W54" s="57"/>
      <c r="X54" s="69">
        <f>SUM(T54:W55)</f>
        <v>0</v>
      </c>
      <c r="Y54" s="115">
        <f>COUNT(D54:S55)</f>
        <v>0</v>
      </c>
      <c r="Z54" s="57"/>
      <c r="AA54" s="57">
        <f>SUM(Y54:Z55)</f>
        <v>0</v>
      </c>
      <c r="AB54" s="57"/>
      <c r="AC54" s="115"/>
      <c r="AD54" s="57"/>
      <c r="AE54" s="57"/>
      <c r="AF54" s="57"/>
      <c r="AG54" s="113">
        <f>AE98</f>
        <v>0</v>
      </c>
    </row>
    <row r="55" spans="1:33" x14ac:dyDescent="0.25">
      <c r="A55" s="58"/>
      <c r="B55" s="236"/>
      <c r="C55" s="234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70"/>
      <c r="U55" s="58"/>
      <c r="V55" s="58"/>
      <c r="W55" s="58"/>
      <c r="X55" s="70"/>
      <c r="Y55" s="116"/>
      <c r="Z55" s="58"/>
      <c r="AA55" s="58"/>
      <c r="AB55" s="58"/>
      <c r="AC55" s="116"/>
      <c r="AD55" s="58"/>
      <c r="AE55" s="58"/>
      <c r="AF55" s="58"/>
      <c r="AG55" s="114"/>
    </row>
    <row r="56" spans="1:33" x14ac:dyDescent="0.25">
      <c r="A56" s="57">
        <v>6</v>
      </c>
      <c r="B56" s="235" t="str">
        <f>ИТОГО!B56</f>
        <v>Сидорович А. П.</v>
      </c>
      <c r="C56" s="233">
        <f>ИТОГО!C56</f>
        <v>4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69">
        <f>SUM(D56:S57)</f>
        <v>0</v>
      </c>
      <c r="U56" s="57"/>
      <c r="V56" s="57"/>
      <c r="W56" s="57"/>
      <c r="X56" s="69">
        <f>SUM(T56:W57)</f>
        <v>0</v>
      </c>
      <c r="Y56" s="115">
        <f>COUNT(D56:S57)</f>
        <v>0</v>
      </c>
      <c r="Z56" s="57"/>
      <c r="AA56" s="57">
        <f>SUM(Y56:Z57)</f>
        <v>0</v>
      </c>
      <c r="AB56" s="57"/>
      <c r="AC56" s="57"/>
      <c r="AD56" s="57"/>
      <c r="AE56" s="57"/>
      <c r="AF56" s="57"/>
      <c r="AG56" s="113">
        <f>AE99</f>
        <v>0</v>
      </c>
    </row>
    <row r="57" spans="1:33" x14ac:dyDescent="0.25">
      <c r="A57" s="58"/>
      <c r="B57" s="236"/>
      <c r="C57" s="234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70"/>
      <c r="U57" s="58"/>
      <c r="V57" s="58"/>
      <c r="W57" s="58"/>
      <c r="X57" s="70"/>
      <c r="Y57" s="116"/>
      <c r="Z57" s="58"/>
      <c r="AA57" s="58"/>
      <c r="AB57" s="58"/>
      <c r="AC57" s="58"/>
      <c r="AD57" s="58"/>
      <c r="AE57" s="58"/>
      <c r="AF57" s="58"/>
      <c r="AG57" s="114"/>
    </row>
    <row r="58" spans="1:33" x14ac:dyDescent="0.25">
      <c r="A58" s="57">
        <v>7</v>
      </c>
      <c r="B58" s="235" t="str">
        <f>ИТОГО!B58</f>
        <v>Яхимчик И. Е.</v>
      </c>
      <c r="C58" s="233">
        <f>ИТОГО!C58</f>
        <v>4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69">
        <f>SUM(D58:S59)</f>
        <v>0</v>
      </c>
      <c r="U58" s="57"/>
      <c r="V58" s="57"/>
      <c r="W58" s="57"/>
      <c r="X58" s="69">
        <f>SUM(T58:W59)</f>
        <v>0</v>
      </c>
      <c r="Y58" s="115">
        <f>COUNT(D58:S59)</f>
        <v>0</v>
      </c>
      <c r="Z58" s="57"/>
      <c r="AA58" s="57">
        <f>SUM(Y58:Z59)</f>
        <v>0</v>
      </c>
      <c r="AB58" s="57"/>
      <c r="AC58" s="57"/>
      <c r="AD58" s="57"/>
      <c r="AE58" s="57"/>
      <c r="AF58" s="57"/>
      <c r="AG58" s="113">
        <f>AE100</f>
        <v>0</v>
      </c>
    </row>
    <row r="59" spans="1:33" x14ac:dyDescent="0.25">
      <c r="A59" s="58"/>
      <c r="B59" s="236"/>
      <c r="C59" s="234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70"/>
      <c r="U59" s="58"/>
      <c r="V59" s="58"/>
      <c r="W59" s="58"/>
      <c r="X59" s="70"/>
      <c r="Y59" s="116"/>
      <c r="Z59" s="58"/>
      <c r="AA59" s="58"/>
      <c r="AB59" s="58"/>
      <c r="AC59" s="58"/>
      <c r="AD59" s="58"/>
      <c r="AE59" s="58"/>
      <c r="AF59" s="58"/>
      <c r="AG59" s="114"/>
    </row>
    <row r="60" spans="1:33" x14ac:dyDescent="0.25">
      <c r="A60" s="57">
        <v>8</v>
      </c>
      <c r="B60" s="235" t="str">
        <f>ИТОГО!B60</f>
        <v>Федюк В. В</v>
      </c>
      <c r="C60" s="233">
        <f>ИТОГО!C60</f>
        <v>4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69">
        <f>SUM(D60:S61)</f>
        <v>0</v>
      </c>
      <c r="U60" s="57"/>
      <c r="V60" s="57"/>
      <c r="W60" s="57"/>
      <c r="X60" s="69">
        <f>SUM(T60:W61)</f>
        <v>0</v>
      </c>
      <c r="Y60" s="115">
        <f>COUNT(D60:S61)</f>
        <v>0</v>
      </c>
      <c r="Z60" s="57"/>
      <c r="AA60" s="57">
        <f>SUM(Y60:Z61)</f>
        <v>0</v>
      </c>
      <c r="AB60" s="57"/>
      <c r="AC60" s="57"/>
      <c r="AD60" s="57"/>
      <c r="AE60" s="57"/>
      <c r="AF60" s="57"/>
      <c r="AG60" s="113">
        <f>AE101</f>
        <v>0</v>
      </c>
    </row>
    <row r="61" spans="1:33" x14ac:dyDescent="0.25">
      <c r="A61" s="58"/>
      <c r="B61" s="236"/>
      <c r="C61" s="234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70"/>
      <c r="U61" s="58"/>
      <c r="V61" s="58"/>
      <c r="W61" s="58"/>
      <c r="X61" s="70"/>
      <c r="Y61" s="116"/>
      <c r="Z61" s="58"/>
      <c r="AA61" s="58"/>
      <c r="AB61" s="58"/>
      <c r="AC61" s="58"/>
      <c r="AD61" s="58"/>
      <c r="AE61" s="58"/>
      <c r="AF61" s="58"/>
      <c r="AG61" s="114"/>
    </row>
    <row r="62" spans="1:33" x14ac:dyDescent="0.25">
      <c r="A62" s="57">
        <v>9</v>
      </c>
      <c r="B62" s="235" t="str">
        <f>ИТОГО!B62</f>
        <v>Лисай И. М.</v>
      </c>
      <c r="C62" s="233">
        <f>ИТОГО!C62</f>
        <v>3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69">
        <f>SUM(D62:S63)</f>
        <v>0</v>
      </c>
      <c r="U62" s="57"/>
      <c r="V62" s="57"/>
      <c r="W62" s="57"/>
      <c r="X62" s="69">
        <f>SUM(T62:W63)</f>
        <v>0</v>
      </c>
      <c r="Y62" s="115">
        <f>COUNT(D62:S63)</f>
        <v>0</v>
      </c>
      <c r="Z62" s="57"/>
      <c r="AA62" s="57">
        <f>SUM(Y62:Z63)</f>
        <v>0</v>
      </c>
      <c r="AB62" s="57"/>
      <c r="AC62" s="57"/>
      <c r="AD62" s="57"/>
      <c r="AE62" s="57"/>
      <c r="AF62" s="57"/>
      <c r="AG62" s="113">
        <f>AE102</f>
        <v>0</v>
      </c>
    </row>
    <row r="63" spans="1:33" x14ac:dyDescent="0.25">
      <c r="A63" s="58"/>
      <c r="B63" s="236"/>
      <c r="C63" s="234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70"/>
      <c r="U63" s="58"/>
      <c r="V63" s="58"/>
      <c r="W63" s="58"/>
      <c r="X63" s="70"/>
      <c r="Y63" s="116"/>
      <c r="Z63" s="58"/>
      <c r="AA63" s="58"/>
      <c r="AB63" s="58"/>
      <c r="AC63" s="58"/>
      <c r="AD63" s="58"/>
      <c r="AE63" s="58"/>
      <c r="AF63" s="58"/>
      <c r="AG63" s="114"/>
    </row>
    <row r="64" spans="1:33" x14ac:dyDescent="0.25">
      <c r="A64" s="57">
        <v>10</v>
      </c>
      <c r="B64" s="235" t="str">
        <f>ИТОГО!B64</f>
        <v>Сильванович А. С.</v>
      </c>
      <c r="C64" s="233">
        <f>ИТОГО!C64</f>
        <v>3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69">
        <f>SUM(D64:S65)</f>
        <v>0</v>
      </c>
      <c r="U64" s="57"/>
      <c r="V64" s="57"/>
      <c r="W64" s="57"/>
      <c r="X64" s="69">
        <f>SUM(T64:W65)</f>
        <v>0</v>
      </c>
      <c r="Y64" s="115">
        <f>COUNT(D64:S65)</f>
        <v>0</v>
      </c>
      <c r="Z64" s="57"/>
      <c r="AA64" s="57">
        <f>SUM(Y64:Z65)</f>
        <v>0</v>
      </c>
      <c r="AB64" s="57"/>
      <c r="AC64" s="57"/>
      <c r="AD64" s="57"/>
      <c r="AE64" s="57"/>
      <c r="AF64" s="57"/>
      <c r="AG64" s="113">
        <f>AE103</f>
        <v>0</v>
      </c>
    </row>
    <row r="65" spans="1:33" x14ac:dyDescent="0.25">
      <c r="A65" s="58"/>
      <c r="B65" s="236"/>
      <c r="C65" s="234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70"/>
      <c r="U65" s="58"/>
      <c r="V65" s="58"/>
      <c r="W65" s="58"/>
      <c r="X65" s="70"/>
      <c r="Y65" s="116"/>
      <c r="Z65" s="58"/>
      <c r="AA65" s="58"/>
      <c r="AB65" s="58"/>
      <c r="AC65" s="58"/>
      <c r="AD65" s="58"/>
      <c r="AE65" s="58"/>
      <c r="AF65" s="58"/>
      <c r="AG65" s="114"/>
    </row>
    <row r="66" spans="1:33" x14ac:dyDescent="0.25">
      <c r="A66" s="57">
        <v>11</v>
      </c>
      <c r="B66" s="235" t="str">
        <f>ИТОГО!B66</f>
        <v>Хилимончик Н. В.</v>
      </c>
      <c r="C66" s="233">
        <f>ИТОГО!C66</f>
        <v>3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69">
        <f>SUM(D66:S67)</f>
        <v>0</v>
      </c>
      <c r="U66" s="57"/>
      <c r="V66" s="57"/>
      <c r="W66" s="57"/>
      <c r="X66" s="69">
        <f>SUM(T66:W67)</f>
        <v>0</v>
      </c>
      <c r="Y66" s="115">
        <f>COUNT(D66:S67)</f>
        <v>0</v>
      </c>
      <c r="Z66" s="57"/>
      <c r="AA66" s="57">
        <f>SUM(Y66:Z67)</f>
        <v>0</v>
      </c>
      <c r="AB66" s="57"/>
      <c r="AC66" s="57"/>
      <c r="AD66" s="57"/>
      <c r="AE66" s="57"/>
      <c r="AF66" s="57"/>
      <c r="AG66" s="113">
        <f>AE104</f>
        <v>0</v>
      </c>
    </row>
    <row r="67" spans="1:33" x14ac:dyDescent="0.25">
      <c r="A67" s="58"/>
      <c r="B67" s="236"/>
      <c r="C67" s="234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70"/>
      <c r="U67" s="58"/>
      <c r="V67" s="58"/>
      <c r="W67" s="58"/>
      <c r="X67" s="70"/>
      <c r="Y67" s="116"/>
      <c r="Z67" s="58"/>
      <c r="AA67" s="58"/>
      <c r="AB67" s="58"/>
      <c r="AC67" s="58"/>
      <c r="AD67" s="58"/>
      <c r="AE67" s="58"/>
      <c r="AF67" s="58"/>
      <c r="AG67" s="114"/>
    </row>
    <row r="68" spans="1:33" x14ac:dyDescent="0.25">
      <c r="A68" s="57">
        <v>12</v>
      </c>
      <c r="B68" s="235" t="str">
        <f>ИТОГО!B68</f>
        <v>Масюкевич Ю. В.</v>
      </c>
      <c r="C68" s="233">
        <f>ИТОГО!C68</f>
        <v>3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69">
        <f>SUM(D68:S69)</f>
        <v>0</v>
      </c>
      <c r="U68" s="57"/>
      <c r="V68" s="57"/>
      <c r="W68" s="57"/>
      <c r="X68" s="69">
        <f>SUM(T68:W69)</f>
        <v>0</v>
      </c>
      <c r="Y68" s="115">
        <f>COUNT(D68:S69)</f>
        <v>0</v>
      </c>
      <c r="Z68" s="57"/>
      <c r="AA68" s="57">
        <f>SUM(Y68:Z69)</f>
        <v>0</v>
      </c>
      <c r="AB68" s="57"/>
      <c r="AC68" s="57"/>
      <c r="AD68" s="57"/>
      <c r="AE68" s="57"/>
      <c r="AF68" s="57"/>
      <c r="AG68" s="113">
        <f>AE105</f>
        <v>0</v>
      </c>
    </row>
    <row r="69" spans="1:33" x14ac:dyDescent="0.25">
      <c r="A69" s="58"/>
      <c r="B69" s="236"/>
      <c r="C69" s="234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70"/>
      <c r="U69" s="58"/>
      <c r="V69" s="58"/>
      <c r="W69" s="58"/>
      <c r="X69" s="70"/>
      <c r="Y69" s="116"/>
      <c r="Z69" s="58"/>
      <c r="AA69" s="58"/>
      <c r="AB69" s="58"/>
      <c r="AC69" s="58"/>
      <c r="AD69" s="58"/>
      <c r="AE69" s="58"/>
      <c r="AF69" s="58"/>
      <c r="AG69" s="114"/>
    </row>
    <row r="70" spans="1:33" x14ac:dyDescent="0.25">
      <c r="A70" s="57">
        <v>13</v>
      </c>
      <c r="B70" s="235" t="str">
        <f>ИТОГО!B70</f>
        <v>Сидорович А. П.</v>
      </c>
      <c r="C70" s="233">
        <f>ИТОГО!C70</f>
        <v>3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69">
        <f>SUM(D70:S71)</f>
        <v>0</v>
      </c>
      <c r="U70" s="57"/>
      <c r="V70" s="57"/>
      <c r="W70" s="57"/>
      <c r="X70" s="69">
        <f>SUM(T70:W71)</f>
        <v>0</v>
      </c>
      <c r="Y70" s="115">
        <f>COUNT(D70:S71)</f>
        <v>0</v>
      </c>
      <c r="Z70" s="57"/>
      <c r="AA70" s="57">
        <f>SUM(Y70:Z71)</f>
        <v>0</v>
      </c>
      <c r="AB70" s="57"/>
      <c r="AC70" s="57"/>
      <c r="AD70" s="57"/>
      <c r="AE70" s="57"/>
      <c r="AF70" s="57"/>
      <c r="AG70" s="113">
        <f>AE106</f>
        <v>0</v>
      </c>
    </row>
    <row r="71" spans="1:33" x14ac:dyDescent="0.25">
      <c r="A71" s="58"/>
      <c r="B71" s="236"/>
      <c r="C71" s="234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70"/>
      <c r="U71" s="58"/>
      <c r="V71" s="58"/>
      <c r="W71" s="58"/>
      <c r="X71" s="70"/>
      <c r="Y71" s="116"/>
      <c r="Z71" s="58"/>
      <c r="AA71" s="58"/>
      <c r="AB71" s="58"/>
      <c r="AC71" s="58"/>
      <c r="AD71" s="58"/>
      <c r="AE71" s="58"/>
      <c r="AF71" s="58"/>
      <c r="AG71" s="114"/>
    </row>
    <row r="72" spans="1:33" x14ac:dyDescent="0.25">
      <c r="A72" s="57">
        <v>14</v>
      </c>
      <c r="B72" s="235">
        <f>ИТОГО!B72</f>
        <v>0</v>
      </c>
      <c r="C72" s="233">
        <f>ИТОГО!C72</f>
        <v>0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69">
        <f>SUM(D72:S73)</f>
        <v>0</v>
      </c>
      <c r="U72" s="57"/>
      <c r="V72" s="57"/>
      <c r="W72" s="57"/>
      <c r="X72" s="69">
        <f>SUM(T72:W73)</f>
        <v>0</v>
      </c>
      <c r="Y72" s="115">
        <f>COUNT(D72:S73)</f>
        <v>0</v>
      </c>
      <c r="Z72" s="57"/>
      <c r="AA72" s="57">
        <f>SUM(Y72:Z73)</f>
        <v>0</v>
      </c>
      <c r="AB72" s="57"/>
      <c r="AC72" s="57"/>
      <c r="AD72" s="57"/>
      <c r="AE72" s="57"/>
      <c r="AF72" s="57"/>
      <c r="AG72" s="113">
        <f>AE107</f>
        <v>0</v>
      </c>
    </row>
    <row r="73" spans="1:33" x14ac:dyDescent="0.25">
      <c r="A73" s="58"/>
      <c r="B73" s="236"/>
      <c r="C73" s="234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70"/>
      <c r="U73" s="58"/>
      <c r="V73" s="58"/>
      <c r="W73" s="58"/>
      <c r="X73" s="70"/>
      <c r="Y73" s="116"/>
      <c r="Z73" s="58"/>
      <c r="AA73" s="58"/>
      <c r="AB73" s="58"/>
      <c r="AC73" s="58"/>
      <c r="AD73" s="58"/>
      <c r="AE73" s="58"/>
      <c r="AF73" s="58"/>
      <c r="AG73" s="114"/>
    </row>
    <row r="74" spans="1:33" ht="12.75" customHeight="1" x14ac:dyDescent="0.25">
      <c r="Q74" s="151" t="s">
        <v>28</v>
      </c>
      <c r="R74" s="151"/>
      <c r="S74" s="152"/>
      <c r="T74" s="16">
        <f>SUM(T46:T73)</f>
        <v>0</v>
      </c>
      <c r="U74" s="5"/>
      <c r="V74" s="5"/>
      <c r="W74" s="5"/>
      <c r="X74" s="5">
        <f>SUM(X46:X73)</f>
        <v>0</v>
      </c>
      <c r="Y74" s="17">
        <f>SUM(Y46:Y73)</f>
        <v>0</v>
      </c>
      <c r="Z74" s="5"/>
      <c r="AA74" s="5">
        <f>SUM(AA46:AA73)</f>
        <v>0</v>
      </c>
      <c r="AB74" s="5"/>
      <c r="AC74" s="5"/>
      <c r="AD74" s="5"/>
      <c r="AE74" s="5"/>
      <c r="AF74" s="5"/>
      <c r="AG74" s="23">
        <f>SUM(AG46:AG73)</f>
        <v>0</v>
      </c>
    </row>
    <row r="75" spans="1:33" ht="12.75" customHeight="1" x14ac:dyDescent="0.25">
      <c r="Q75" s="18"/>
      <c r="R75" s="18"/>
      <c r="S75" s="18"/>
      <c r="T75" s="19"/>
      <c r="U75" s="19"/>
      <c r="V75" s="19"/>
      <c r="W75" s="19"/>
      <c r="X75" s="19"/>
      <c r="Y75" s="20"/>
      <c r="Z75" s="19"/>
      <c r="AA75" s="19"/>
      <c r="AB75" s="19"/>
      <c r="AC75" s="19"/>
      <c r="AD75" s="19"/>
      <c r="AE75" s="19"/>
      <c r="AF75" s="19"/>
      <c r="AG75" s="19"/>
    </row>
    <row r="76" spans="1:33" x14ac:dyDescent="0.25">
      <c r="B76" s="47" t="s">
        <v>29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T76" s="46" t="s">
        <v>92</v>
      </c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</row>
    <row r="77" spans="1:33" ht="24" customHeight="1" x14ac:dyDescent="0.25">
      <c r="B77" s="204" t="s">
        <v>30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T77" s="204" t="s">
        <v>68</v>
      </c>
      <c r="U77" s="204"/>
      <c r="V77" s="204"/>
      <c r="W77" s="204"/>
      <c r="X77" s="204"/>
      <c r="Y77" s="241"/>
      <c r="Z77" s="241"/>
      <c r="AA77" s="241"/>
      <c r="AB77" s="241"/>
      <c r="AC77" s="241"/>
      <c r="AD77" s="241"/>
      <c r="AE77" s="241"/>
      <c r="AF77" s="241"/>
      <c r="AG77" s="241"/>
    </row>
    <row r="78" spans="1:33" x14ac:dyDescent="0.25">
      <c r="B78" s="46" t="s">
        <v>31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33" x14ac:dyDescent="0.25">
      <c r="B79" s="46" t="str">
        <f>ИТОГО!B79</f>
        <v>Экономист Яцевич Н. Г.  ______________________________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T79" s="46" t="s">
        <v>32</v>
      </c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spans="1:33" x14ac:dyDescent="0.25">
      <c r="T80" s="47" t="s">
        <v>33</v>
      </c>
      <c r="U80" s="47"/>
      <c r="V80" s="47"/>
      <c r="W80" s="47"/>
      <c r="X80" s="47"/>
      <c r="Y80" s="47"/>
      <c r="Z80" s="42" t="str">
        <f>ИТОГО!Z80</f>
        <v>Нач ДРСУ 161 _______________ Залога Г.Ч.</v>
      </c>
      <c r="AA80" s="42"/>
      <c r="AB80" s="42"/>
      <c r="AC80" s="42"/>
      <c r="AD80" s="42"/>
      <c r="AE80" s="42"/>
      <c r="AF80" s="42"/>
      <c r="AG80" s="42"/>
    </row>
    <row r="81" spans="1:33" x14ac:dyDescent="0.25">
      <c r="C81" s="59" t="s">
        <v>83</v>
      </c>
      <c r="D81" s="59"/>
      <c r="E81" s="59"/>
      <c r="F81" s="59"/>
      <c r="G81" s="59"/>
      <c r="H81" s="59"/>
      <c r="I81" s="59"/>
      <c r="J81" s="59"/>
      <c r="K81" s="59"/>
      <c r="L81" s="56">
        <f>Q4</f>
        <v>2025</v>
      </c>
      <c r="M81" s="56"/>
      <c r="N81" s="4" t="s">
        <v>76</v>
      </c>
      <c r="Z81" s="42" t="str">
        <f>ИТОГО!Z81</f>
        <v xml:space="preserve"> мастер __________________Голец П.В.</v>
      </c>
      <c r="AA81" s="42"/>
      <c r="AB81" s="42"/>
      <c r="AC81" s="42"/>
      <c r="AD81" s="42"/>
      <c r="AE81" s="42"/>
      <c r="AF81" s="42"/>
      <c r="AG81" s="42"/>
    </row>
    <row r="82" spans="1:33" x14ac:dyDescent="0.25">
      <c r="X82" s="46" t="s">
        <v>84</v>
      </c>
      <c r="Y82" s="46"/>
      <c r="Z82" s="46"/>
      <c r="AA82" s="46"/>
      <c r="AB82" s="46"/>
      <c r="AC82" s="46"/>
      <c r="AD82" s="46"/>
      <c r="AE82" s="9">
        <f>Q4</f>
        <v>2025</v>
      </c>
      <c r="AF82" s="9" t="s">
        <v>76</v>
      </c>
    </row>
    <row r="84" spans="1:33" x14ac:dyDescent="0.25">
      <c r="I84" s="56" t="s">
        <v>57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</row>
    <row r="86" spans="1:33" ht="13" x14ac:dyDescent="0.3">
      <c r="D86" s="56" t="s">
        <v>58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33" ht="13" x14ac:dyDescent="0.3">
      <c r="I87" s="206" t="s">
        <v>71</v>
      </c>
      <c r="J87" s="206"/>
      <c r="K87" s="206"/>
      <c r="L87" s="126" t="str">
        <f>I4</f>
        <v>Июль</v>
      </c>
      <c r="M87" s="126"/>
      <c r="N87" s="126"/>
      <c r="O87" s="126"/>
      <c r="P87" s="126"/>
      <c r="Q87" s="126"/>
      <c r="R87" s="126"/>
      <c r="S87" s="149">
        <f>Q4</f>
        <v>2025</v>
      </c>
      <c r="T87" s="149"/>
      <c r="U87" s="149"/>
      <c r="V87" s="4" t="s">
        <v>76</v>
      </c>
    </row>
    <row r="88" spans="1:33" x14ac:dyDescent="0.25">
      <c r="L88" s="2"/>
    </row>
    <row r="89" spans="1:33" x14ac:dyDescent="0.25">
      <c r="A89" s="59" t="str">
        <f>A5</f>
        <v xml:space="preserve">Объект: 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</row>
    <row r="90" spans="1:33" ht="13" x14ac:dyDescent="0.3">
      <c r="K90" s="61" t="s">
        <v>90</v>
      </c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33" ht="12.75" customHeight="1" x14ac:dyDescent="0.25">
      <c r="A91" s="110" t="s">
        <v>59</v>
      </c>
      <c r="B91" s="92" t="s">
        <v>26</v>
      </c>
      <c r="C91" s="93"/>
      <c r="D91" s="93"/>
      <c r="E91" s="93"/>
      <c r="F91" s="93"/>
      <c r="G91" s="93"/>
      <c r="H91" s="94"/>
      <c r="I91" s="92" t="s">
        <v>60</v>
      </c>
      <c r="J91" s="93"/>
      <c r="K91" s="94"/>
      <c r="L91" s="101" t="s">
        <v>61</v>
      </c>
      <c r="M91" s="102"/>
      <c r="N91" s="102"/>
      <c r="O91" s="103"/>
      <c r="P91" s="101" t="s">
        <v>62</v>
      </c>
      <c r="Q91" s="102"/>
      <c r="R91" s="102"/>
      <c r="S91" s="103"/>
      <c r="T91" s="101" t="s">
        <v>63</v>
      </c>
      <c r="U91" s="102"/>
      <c r="V91" s="103"/>
      <c r="W91" s="101" t="s">
        <v>64</v>
      </c>
      <c r="X91" s="102"/>
      <c r="Y91" s="102"/>
      <c r="Z91" s="103"/>
      <c r="AA91" s="92" t="s">
        <v>87</v>
      </c>
      <c r="AB91" s="93"/>
      <c r="AC91" s="93"/>
      <c r="AD91" s="94"/>
      <c r="AE91" s="101" t="s">
        <v>65</v>
      </c>
      <c r="AF91" s="102"/>
      <c r="AG91" s="103"/>
    </row>
    <row r="92" spans="1:33" x14ac:dyDescent="0.25">
      <c r="A92" s="111"/>
      <c r="B92" s="95"/>
      <c r="C92" s="96"/>
      <c r="D92" s="96"/>
      <c r="E92" s="96"/>
      <c r="F92" s="96"/>
      <c r="G92" s="96"/>
      <c r="H92" s="97"/>
      <c r="I92" s="95"/>
      <c r="J92" s="96"/>
      <c r="K92" s="97"/>
      <c r="L92" s="104"/>
      <c r="M92" s="105"/>
      <c r="N92" s="105"/>
      <c r="O92" s="106"/>
      <c r="P92" s="104"/>
      <c r="Q92" s="105"/>
      <c r="R92" s="105"/>
      <c r="S92" s="106"/>
      <c r="T92" s="104"/>
      <c r="U92" s="105"/>
      <c r="V92" s="106"/>
      <c r="W92" s="104"/>
      <c r="X92" s="105"/>
      <c r="Y92" s="105"/>
      <c r="Z92" s="106"/>
      <c r="AA92" s="95"/>
      <c r="AB92" s="96"/>
      <c r="AC92" s="96"/>
      <c r="AD92" s="97"/>
      <c r="AE92" s="104"/>
      <c r="AF92" s="105"/>
      <c r="AG92" s="106"/>
    </row>
    <row r="93" spans="1:33" x14ac:dyDescent="0.25">
      <c r="A93" s="112"/>
      <c r="B93" s="98"/>
      <c r="C93" s="99"/>
      <c r="D93" s="99"/>
      <c r="E93" s="99"/>
      <c r="F93" s="99"/>
      <c r="G93" s="99"/>
      <c r="H93" s="100"/>
      <c r="I93" s="98"/>
      <c r="J93" s="99"/>
      <c r="K93" s="100"/>
      <c r="L93" s="107"/>
      <c r="M93" s="108"/>
      <c r="N93" s="108"/>
      <c r="O93" s="109"/>
      <c r="P93" s="107"/>
      <c r="Q93" s="108"/>
      <c r="R93" s="108"/>
      <c r="S93" s="109"/>
      <c r="T93" s="107"/>
      <c r="U93" s="108"/>
      <c r="V93" s="109"/>
      <c r="W93" s="107"/>
      <c r="X93" s="108"/>
      <c r="Y93" s="108"/>
      <c r="Z93" s="109"/>
      <c r="AA93" s="98"/>
      <c r="AB93" s="99"/>
      <c r="AC93" s="99"/>
      <c r="AD93" s="100"/>
      <c r="AE93" s="107"/>
      <c r="AF93" s="108"/>
      <c r="AG93" s="109"/>
    </row>
    <row r="94" spans="1:33" ht="21.75" customHeight="1" x14ac:dyDescent="0.25">
      <c r="A94" s="5">
        <v>1</v>
      </c>
      <c r="B94" s="73" t="str">
        <f>B46</f>
        <v>Федюк В. В</v>
      </c>
      <c r="C94" s="74"/>
      <c r="D94" s="74"/>
      <c r="E94" s="74"/>
      <c r="F94" s="74"/>
      <c r="G94" s="74"/>
      <c r="H94" s="75"/>
      <c r="I94" s="89">
        <f>C46</f>
        <v>6</v>
      </c>
      <c r="J94" s="90"/>
      <c r="K94" s="91"/>
      <c r="L94" s="89">
        <f>ИТОГО!L94</f>
        <v>1.88</v>
      </c>
      <c r="M94" s="90"/>
      <c r="N94" s="90"/>
      <c r="O94" s="91"/>
      <c r="P94" s="43">
        <f>Y46</f>
        <v>0</v>
      </c>
      <c r="Q94" s="44"/>
      <c r="R94" s="44"/>
      <c r="S94" s="45"/>
      <c r="T94" s="43">
        <f>T46</f>
        <v>0</v>
      </c>
      <c r="U94" s="44"/>
      <c r="V94" s="45"/>
      <c r="W94" s="76">
        <f t="shared" ref="W94:W107" si="6">L94*T94</f>
        <v>0</v>
      </c>
      <c r="X94" s="77"/>
      <c r="Y94" s="77"/>
      <c r="Z94" s="78"/>
      <c r="AA94" s="43">
        <f>IF(W108=0,0,AE109/W108)</f>
        <v>0</v>
      </c>
      <c r="AB94" s="44"/>
      <c r="AC94" s="44"/>
      <c r="AD94" s="45"/>
      <c r="AE94" s="230">
        <f t="shared" ref="AE94:AE107" si="7">ROUND(W94*AA94,2)</f>
        <v>0</v>
      </c>
      <c r="AF94" s="231"/>
      <c r="AG94" s="232"/>
    </row>
    <row r="95" spans="1:33" ht="22.5" customHeight="1" x14ac:dyDescent="0.25">
      <c r="A95" s="5">
        <v>2</v>
      </c>
      <c r="B95" s="73" t="str">
        <f>B48</f>
        <v>Лисай И. М.</v>
      </c>
      <c r="C95" s="74"/>
      <c r="D95" s="74"/>
      <c r="E95" s="74"/>
      <c r="F95" s="74"/>
      <c r="G95" s="74"/>
      <c r="H95" s="75"/>
      <c r="I95" s="89">
        <f>C48</f>
        <v>6</v>
      </c>
      <c r="J95" s="90"/>
      <c r="K95" s="91"/>
      <c r="L95" s="89">
        <f>ИТОГО!L95</f>
        <v>1.88</v>
      </c>
      <c r="M95" s="90"/>
      <c r="N95" s="90"/>
      <c r="O95" s="91"/>
      <c r="P95" s="43">
        <f>Y48</f>
        <v>0</v>
      </c>
      <c r="Q95" s="44"/>
      <c r="R95" s="44"/>
      <c r="S95" s="45"/>
      <c r="T95" s="43">
        <f>T48</f>
        <v>0</v>
      </c>
      <c r="U95" s="44"/>
      <c r="V95" s="45"/>
      <c r="W95" s="76">
        <f t="shared" si="6"/>
        <v>0</v>
      </c>
      <c r="X95" s="77"/>
      <c r="Y95" s="77"/>
      <c r="Z95" s="78"/>
      <c r="AA95" s="43">
        <f>IF(W108=0,0,AE109/W108)</f>
        <v>0</v>
      </c>
      <c r="AB95" s="44"/>
      <c r="AC95" s="44"/>
      <c r="AD95" s="45"/>
      <c r="AE95" s="230">
        <f t="shared" si="7"/>
        <v>0</v>
      </c>
      <c r="AF95" s="231"/>
      <c r="AG95" s="232"/>
    </row>
    <row r="96" spans="1:33" ht="22.5" customHeight="1" x14ac:dyDescent="0.25">
      <c r="A96" s="5">
        <v>3</v>
      </c>
      <c r="B96" s="73" t="str">
        <f>B50</f>
        <v>Хилимончик Н. В.</v>
      </c>
      <c r="C96" s="74"/>
      <c r="D96" s="74"/>
      <c r="E96" s="74"/>
      <c r="F96" s="74"/>
      <c r="G96" s="74"/>
      <c r="H96" s="75"/>
      <c r="I96" s="89">
        <f>C50</f>
        <v>6</v>
      </c>
      <c r="J96" s="90"/>
      <c r="K96" s="91"/>
      <c r="L96" s="89">
        <f>ИТОГО!L96</f>
        <v>1.88</v>
      </c>
      <c r="M96" s="90"/>
      <c r="N96" s="90"/>
      <c r="O96" s="91"/>
      <c r="P96" s="43">
        <f>Y50</f>
        <v>0</v>
      </c>
      <c r="Q96" s="44"/>
      <c r="R96" s="44"/>
      <c r="S96" s="45"/>
      <c r="T96" s="43">
        <f>T50</f>
        <v>0</v>
      </c>
      <c r="U96" s="44"/>
      <c r="V96" s="45"/>
      <c r="W96" s="76">
        <f t="shared" si="6"/>
        <v>0</v>
      </c>
      <c r="X96" s="77"/>
      <c r="Y96" s="77"/>
      <c r="Z96" s="78"/>
      <c r="AA96" s="43">
        <f>IF(W108=0,0,AE109/W108)</f>
        <v>0</v>
      </c>
      <c r="AB96" s="44"/>
      <c r="AC96" s="44"/>
      <c r="AD96" s="45"/>
      <c r="AE96" s="230">
        <f t="shared" si="7"/>
        <v>0</v>
      </c>
      <c r="AF96" s="231"/>
      <c r="AG96" s="232"/>
    </row>
    <row r="97" spans="1:33" ht="22.5" customHeight="1" x14ac:dyDescent="0.25">
      <c r="A97" s="5">
        <v>4</v>
      </c>
      <c r="B97" s="73" t="str">
        <f>B52</f>
        <v>Сильванович А. С.</v>
      </c>
      <c r="C97" s="74"/>
      <c r="D97" s="74"/>
      <c r="E97" s="74"/>
      <c r="F97" s="74"/>
      <c r="G97" s="74"/>
      <c r="H97" s="75"/>
      <c r="I97" s="89">
        <f>C52</f>
        <v>5</v>
      </c>
      <c r="J97" s="90"/>
      <c r="K97" s="91"/>
      <c r="L97" s="89">
        <f>ИТОГО!L97</f>
        <v>1.71</v>
      </c>
      <c r="M97" s="90"/>
      <c r="N97" s="90"/>
      <c r="O97" s="91"/>
      <c r="P97" s="43">
        <f>Y52</f>
        <v>0</v>
      </c>
      <c r="Q97" s="44"/>
      <c r="R97" s="44"/>
      <c r="S97" s="45"/>
      <c r="T97" s="43">
        <f>T52</f>
        <v>0</v>
      </c>
      <c r="U97" s="44"/>
      <c r="V97" s="45"/>
      <c r="W97" s="76">
        <f t="shared" si="6"/>
        <v>0</v>
      </c>
      <c r="X97" s="77"/>
      <c r="Y97" s="77"/>
      <c r="Z97" s="78"/>
      <c r="AA97" s="43">
        <f>IF(W108=0,0,AE109/W108)</f>
        <v>0</v>
      </c>
      <c r="AB97" s="44"/>
      <c r="AC97" s="44"/>
      <c r="AD97" s="45"/>
      <c r="AE97" s="230">
        <f t="shared" si="7"/>
        <v>0</v>
      </c>
      <c r="AF97" s="231"/>
      <c r="AG97" s="232"/>
    </row>
    <row r="98" spans="1:33" ht="22.5" customHeight="1" x14ac:dyDescent="0.25">
      <c r="A98" s="5">
        <v>5</v>
      </c>
      <c r="B98" s="73" t="str">
        <f>B54</f>
        <v>Масюкевич Ю В.</v>
      </c>
      <c r="C98" s="74"/>
      <c r="D98" s="74"/>
      <c r="E98" s="74"/>
      <c r="F98" s="74"/>
      <c r="G98" s="74"/>
      <c r="H98" s="75"/>
      <c r="I98" s="89">
        <f>C54</f>
        <v>5</v>
      </c>
      <c r="J98" s="90"/>
      <c r="K98" s="91"/>
      <c r="L98" s="89">
        <f>ИТОГО!L98</f>
        <v>1.71</v>
      </c>
      <c r="M98" s="90"/>
      <c r="N98" s="90"/>
      <c r="O98" s="91"/>
      <c r="P98" s="43">
        <f>Y54</f>
        <v>0</v>
      </c>
      <c r="Q98" s="44"/>
      <c r="R98" s="44"/>
      <c r="S98" s="45"/>
      <c r="T98" s="43">
        <f>T54</f>
        <v>0</v>
      </c>
      <c r="U98" s="44"/>
      <c r="V98" s="45"/>
      <c r="W98" s="76">
        <f t="shared" si="6"/>
        <v>0</v>
      </c>
      <c r="X98" s="77"/>
      <c r="Y98" s="77"/>
      <c r="Z98" s="78"/>
      <c r="AA98" s="43">
        <f>IF(W108=0,0,AE109/W108)</f>
        <v>0</v>
      </c>
      <c r="AB98" s="44"/>
      <c r="AC98" s="44"/>
      <c r="AD98" s="45"/>
      <c r="AE98" s="230">
        <f t="shared" si="7"/>
        <v>0</v>
      </c>
      <c r="AF98" s="231"/>
      <c r="AG98" s="232"/>
    </row>
    <row r="99" spans="1:33" ht="22.5" customHeight="1" x14ac:dyDescent="0.25">
      <c r="A99" s="5">
        <v>6</v>
      </c>
      <c r="B99" s="73" t="str">
        <f>B56</f>
        <v>Сидорович А. П.</v>
      </c>
      <c r="C99" s="74"/>
      <c r="D99" s="74"/>
      <c r="E99" s="74"/>
      <c r="F99" s="74"/>
      <c r="G99" s="74"/>
      <c r="H99" s="75"/>
      <c r="I99" s="89">
        <f>C56</f>
        <v>4</v>
      </c>
      <c r="J99" s="90"/>
      <c r="K99" s="91"/>
      <c r="L99" s="89">
        <f>ИТОГО!L99</f>
        <v>1.55</v>
      </c>
      <c r="M99" s="90"/>
      <c r="N99" s="90"/>
      <c r="O99" s="91"/>
      <c r="P99" s="43">
        <f>Y56</f>
        <v>0</v>
      </c>
      <c r="Q99" s="44"/>
      <c r="R99" s="44"/>
      <c r="S99" s="45"/>
      <c r="T99" s="43">
        <f>T56</f>
        <v>0</v>
      </c>
      <c r="U99" s="44"/>
      <c r="V99" s="45"/>
      <c r="W99" s="76">
        <f t="shared" si="6"/>
        <v>0</v>
      </c>
      <c r="X99" s="77"/>
      <c r="Y99" s="77"/>
      <c r="Z99" s="78"/>
      <c r="AA99" s="43">
        <f>IF(W108=0,0,AE109/W108)</f>
        <v>0</v>
      </c>
      <c r="AB99" s="44"/>
      <c r="AC99" s="44"/>
      <c r="AD99" s="45"/>
      <c r="AE99" s="230">
        <f t="shared" si="7"/>
        <v>0</v>
      </c>
      <c r="AF99" s="231"/>
      <c r="AG99" s="232"/>
    </row>
    <row r="100" spans="1:33" ht="22.5" customHeight="1" x14ac:dyDescent="0.25">
      <c r="A100" s="5">
        <v>7</v>
      </c>
      <c r="B100" s="73" t="str">
        <f>B58</f>
        <v>Яхимчик И. Е.</v>
      </c>
      <c r="C100" s="74"/>
      <c r="D100" s="74"/>
      <c r="E100" s="74"/>
      <c r="F100" s="74"/>
      <c r="G100" s="74"/>
      <c r="H100" s="75"/>
      <c r="I100" s="89">
        <f>C58</f>
        <v>4</v>
      </c>
      <c r="J100" s="90"/>
      <c r="K100" s="91"/>
      <c r="L100" s="89">
        <f>ИТОГО!L100</f>
        <v>1.55</v>
      </c>
      <c r="M100" s="90"/>
      <c r="N100" s="90"/>
      <c r="O100" s="91"/>
      <c r="P100" s="43">
        <f>Y58</f>
        <v>0</v>
      </c>
      <c r="Q100" s="44"/>
      <c r="R100" s="44"/>
      <c r="S100" s="45"/>
      <c r="T100" s="43">
        <f>T58</f>
        <v>0</v>
      </c>
      <c r="U100" s="44"/>
      <c r="V100" s="45"/>
      <c r="W100" s="76">
        <f t="shared" si="6"/>
        <v>0</v>
      </c>
      <c r="X100" s="77"/>
      <c r="Y100" s="77"/>
      <c r="Z100" s="78"/>
      <c r="AA100" s="43">
        <f>IF(W108=0,0,AE109/W108)</f>
        <v>0</v>
      </c>
      <c r="AB100" s="44"/>
      <c r="AC100" s="44"/>
      <c r="AD100" s="45"/>
      <c r="AE100" s="230">
        <f>ROUND(W100*AA100,2)</f>
        <v>0</v>
      </c>
      <c r="AF100" s="231"/>
      <c r="AG100" s="232"/>
    </row>
    <row r="101" spans="1:33" ht="21.75" customHeight="1" x14ac:dyDescent="0.25">
      <c r="A101" s="5">
        <v>8</v>
      </c>
      <c r="B101" s="73" t="str">
        <f>B60</f>
        <v>Федюк В. В</v>
      </c>
      <c r="C101" s="74"/>
      <c r="D101" s="74"/>
      <c r="E101" s="74"/>
      <c r="F101" s="74"/>
      <c r="G101" s="74"/>
      <c r="H101" s="75"/>
      <c r="I101" s="89">
        <f>C60</f>
        <v>4</v>
      </c>
      <c r="J101" s="90"/>
      <c r="K101" s="91"/>
      <c r="L101" s="89">
        <f>ИТОГО!L101</f>
        <v>1.55</v>
      </c>
      <c r="M101" s="90"/>
      <c r="N101" s="90"/>
      <c r="O101" s="91"/>
      <c r="P101" s="43">
        <f>Y60</f>
        <v>0</v>
      </c>
      <c r="Q101" s="44"/>
      <c r="R101" s="44"/>
      <c r="S101" s="45"/>
      <c r="T101" s="43">
        <f>T60</f>
        <v>0</v>
      </c>
      <c r="U101" s="44"/>
      <c r="V101" s="45"/>
      <c r="W101" s="76">
        <f t="shared" si="6"/>
        <v>0</v>
      </c>
      <c r="X101" s="77"/>
      <c r="Y101" s="77"/>
      <c r="Z101" s="78"/>
      <c r="AA101" s="43">
        <f>IF(W108=0,0,AE109/W108)</f>
        <v>0</v>
      </c>
      <c r="AB101" s="44"/>
      <c r="AC101" s="44"/>
      <c r="AD101" s="45"/>
      <c r="AE101" s="230">
        <f t="shared" si="7"/>
        <v>0</v>
      </c>
      <c r="AF101" s="231"/>
      <c r="AG101" s="232"/>
    </row>
    <row r="102" spans="1:33" ht="22.5" customHeight="1" x14ac:dyDescent="0.25">
      <c r="A102" s="5">
        <v>9</v>
      </c>
      <c r="B102" s="73" t="str">
        <f>B62</f>
        <v>Лисай И. М.</v>
      </c>
      <c r="C102" s="74"/>
      <c r="D102" s="74"/>
      <c r="E102" s="74"/>
      <c r="F102" s="74"/>
      <c r="G102" s="74"/>
      <c r="H102" s="75"/>
      <c r="I102" s="89">
        <f>C62</f>
        <v>3</v>
      </c>
      <c r="J102" s="90"/>
      <c r="K102" s="91"/>
      <c r="L102" s="89">
        <f>ИТОГО!L102</f>
        <v>1.34</v>
      </c>
      <c r="M102" s="90"/>
      <c r="N102" s="90"/>
      <c r="O102" s="91"/>
      <c r="P102" s="43">
        <f>Y62</f>
        <v>0</v>
      </c>
      <c r="Q102" s="44"/>
      <c r="R102" s="44"/>
      <c r="S102" s="45"/>
      <c r="T102" s="43">
        <f>T62</f>
        <v>0</v>
      </c>
      <c r="U102" s="44"/>
      <c r="V102" s="45"/>
      <c r="W102" s="76">
        <f t="shared" si="6"/>
        <v>0</v>
      </c>
      <c r="X102" s="77"/>
      <c r="Y102" s="77"/>
      <c r="Z102" s="78"/>
      <c r="AA102" s="43">
        <f>IF(W108=0,0,AE109/W108)</f>
        <v>0</v>
      </c>
      <c r="AB102" s="44"/>
      <c r="AC102" s="44"/>
      <c r="AD102" s="45"/>
      <c r="AE102" s="230">
        <f t="shared" si="7"/>
        <v>0</v>
      </c>
      <c r="AF102" s="231"/>
      <c r="AG102" s="232"/>
    </row>
    <row r="103" spans="1:33" ht="22.5" customHeight="1" x14ac:dyDescent="0.25">
      <c r="A103" s="5">
        <v>10</v>
      </c>
      <c r="B103" s="73" t="str">
        <f>B64</f>
        <v>Сильванович А. С.</v>
      </c>
      <c r="C103" s="74"/>
      <c r="D103" s="74"/>
      <c r="E103" s="74"/>
      <c r="F103" s="74"/>
      <c r="G103" s="74"/>
      <c r="H103" s="75"/>
      <c r="I103" s="89">
        <f>C64</f>
        <v>3</v>
      </c>
      <c r="J103" s="90"/>
      <c r="K103" s="91"/>
      <c r="L103" s="89">
        <f>ИТОГО!L103</f>
        <v>1.34</v>
      </c>
      <c r="M103" s="90"/>
      <c r="N103" s="90"/>
      <c r="O103" s="91"/>
      <c r="P103" s="43">
        <f>Y64</f>
        <v>0</v>
      </c>
      <c r="Q103" s="44"/>
      <c r="R103" s="44"/>
      <c r="S103" s="45"/>
      <c r="T103" s="43">
        <f>T64</f>
        <v>0</v>
      </c>
      <c r="U103" s="44"/>
      <c r="V103" s="45"/>
      <c r="W103" s="76">
        <f t="shared" si="6"/>
        <v>0</v>
      </c>
      <c r="X103" s="77"/>
      <c r="Y103" s="77"/>
      <c r="Z103" s="78"/>
      <c r="AA103" s="43">
        <f>IF(W108=0,0,AE109/W108)</f>
        <v>0</v>
      </c>
      <c r="AB103" s="44"/>
      <c r="AC103" s="44"/>
      <c r="AD103" s="45"/>
      <c r="AE103" s="230">
        <f t="shared" si="7"/>
        <v>0</v>
      </c>
      <c r="AF103" s="231"/>
      <c r="AG103" s="232"/>
    </row>
    <row r="104" spans="1:33" ht="22.5" customHeight="1" x14ac:dyDescent="0.25">
      <c r="A104" s="5">
        <v>11</v>
      </c>
      <c r="B104" s="73" t="str">
        <f>B66</f>
        <v>Хилимончик Н. В.</v>
      </c>
      <c r="C104" s="74"/>
      <c r="D104" s="74"/>
      <c r="E104" s="74"/>
      <c r="F104" s="74"/>
      <c r="G104" s="74"/>
      <c r="H104" s="75"/>
      <c r="I104" s="89">
        <f>C66</f>
        <v>3</v>
      </c>
      <c r="J104" s="90"/>
      <c r="K104" s="91"/>
      <c r="L104" s="89">
        <f>ИТОГО!L104</f>
        <v>1.34</v>
      </c>
      <c r="M104" s="90"/>
      <c r="N104" s="90"/>
      <c r="O104" s="91"/>
      <c r="P104" s="43">
        <f>Y66</f>
        <v>0</v>
      </c>
      <c r="Q104" s="44"/>
      <c r="R104" s="44"/>
      <c r="S104" s="45"/>
      <c r="T104" s="43">
        <f>T66</f>
        <v>0</v>
      </c>
      <c r="U104" s="44"/>
      <c r="V104" s="45"/>
      <c r="W104" s="76">
        <f t="shared" si="6"/>
        <v>0</v>
      </c>
      <c r="X104" s="77"/>
      <c r="Y104" s="77"/>
      <c r="Z104" s="78"/>
      <c r="AA104" s="43">
        <f>IF(W108=0,0,AE109/W108)</f>
        <v>0</v>
      </c>
      <c r="AB104" s="44"/>
      <c r="AC104" s="44"/>
      <c r="AD104" s="45"/>
      <c r="AE104" s="230">
        <f t="shared" si="7"/>
        <v>0</v>
      </c>
      <c r="AF104" s="231"/>
      <c r="AG104" s="232"/>
    </row>
    <row r="105" spans="1:33" ht="22.5" customHeight="1" x14ac:dyDescent="0.25">
      <c r="A105" s="5">
        <v>12</v>
      </c>
      <c r="B105" s="73" t="str">
        <f>B68</f>
        <v>Масюкевич Ю. В.</v>
      </c>
      <c r="C105" s="74"/>
      <c r="D105" s="74"/>
      <c r="E105" s="74"/>
      <c r="F105" s="74"/>
      <c r="G105" s="74"/>
      <c r="H105" s="75"/>
      <c r="I105" s="89">
        <f>C68</f>
        <v>3</v>
      </c>
      <c r="J105" s="90"/>
      <c r="K105" s="91"/>
      <c r="L105" s="89">
        <f>ИТОГО!L105</f>
        <v>1.34</v>
      </c>
      <c r="M105" s="90"/>
      <c r="N105" s="90"/>
      <c r="O105" s="91"/>
      <c r="P105" s="43">
        <f>Y68</f>
        <v>0</v>
      </c>
      <c r="Q105" s="44"/>
      <c r="R105" s="44"/>
      <c r="S105" s="45"/>
      <c r="T105" s="43">
        <f>T68</f>
        <v>0</v>
      </c>
      <c r="U105" s="44"/>
      <c r="V105" s="45"/>
      <c r="W105" s="76">
        <f t="shared" si="6"/>
        <v>0</v>
      </c>
      <c r="X105" s="77"/>
      <c r="Y105" s="77"/>
      <c r="Z105" s="78"/>
      <c r="AA105" s="43">
        <f>IF(W108=0,0,AE109/W108)</f>
        <v>0</v>
      </c>
      <c r="AB105" s="44"/>
      <c r="AC105" s="44"/>
      <c r="AD105" s="45"/>
      <c r="AE105" s="230">
        <f t="shared" si="7"/>
        <v>0</v>
      </c>
      <c r="AF105" s="231"/>
      <c r="AG105" s="232"/>
    </row>
    <row r="106" spans="1:33" ht="22.5" customHeight="1" x14ac:dyDescent="0.25">
      <c r="A106" s="5">
        <v>13</v>
      </c>
      <c r="B106" s="73" t="str">
        <f>B70</f>
        <v>Сидорович А. П.</v>
      </c>
      <c r="C106" s="74"/>
      <c r="D106" s="74"/>
      <c r="E106" s="74"/>
      <c r="F106" s="74"/>
      <c r="G106" s="74"/>
      <c r="H106" s="75"/>
      <c r="I106" s="89">
        <f>C70</f>
        <v>3</v>
      </c>
      <c r="J106" s="90"/>
      <c r="K106" s="91"/>
      <c r="L106" s="89">
        <f>ИТОГО!L106</f>
        <v>1.34</v>
      </c>
      <c r="M106" s="90"/>
      <c r="N106" s="90"/>
      <c r="O106" s="91"/>
      <c r="P106" s="43">
        <f>Y70</f>
        <v>0</v>
      </c>
      <c r="Q106" s="44"/>
      <c r="R106" s="44"/>
      <c r="S106" s="45"/>
      <c r="T106" s="43">
        <f>T70</f>
        <v>0</v>
      </c>
      <c r="U106" s="44"/>
      <c r="V106" s="45"/>
      <c r="W106" s="76">
        <f t="shared" si="6"/>
        <v>0</v>
      </c>
      <c r="X106" s="77"/>
      <c r="Y106" s="77"/>
      <c r="Z106" s="78"/>
      <c r="AA106" s="43">
        <f>IF(W108=0,0,AE109/W108)</f>
        <v>0</v>
      </c>
      <c r="AB106" s="44"/>
      <c r="AC106" s="44"/>
      <c r="AD106" s="45"/>
      <c r="AE106" s="230">
        <f t="shared" si="7"/>
        <v>0</v>
      </c>
      <c r="AF106" s="231"/>
      <c r="AG106" s="232"/>
    </row>
    <row r="107" spans="1:33" ht="22.5" customHeight="1" x14ac:dyDescent="0.25">
      <c r="A107" s="5">
        <v>14</v>
      </c>
      <c r="B107" s="73">
        <f>B72</f>
        <v>0</v>
      </c>
      <c r="C107" s="74"/>
      <c r="D107" s="74"/>
      <c r="E107" s="74"/>
      <c r="F107" s="74"/>
      <c r="G107" s="74"/>
      <c r="H107" s="75"/>
      <c r="I107" s="89">
        <f>C72</f>
        <v>0</v>
      </c>
      <c r="J107" s="90"/>
      <c r="K107" s="91"/>
      <c r="L107" s="89">
        <f>ИТОГО!L107</f>
        <v>0</v>
      </c>
      <c r="M107" s="90"/>
      <c r="N107" s="90"/>
      <c r="O107" s="91"/>
      <c r="P107" s="43">
        <f>Y72</f>
        <v>0</v>
      </c>
      <c r="Q107" s="44"/>
      <c r="R107" s="44"/>
      <c r="S107" s="45"/>
      <c r="T107" s="43">
        <f>T72</f>
        <v>0</v>
      </c>
      <c r="U107" s="44"/>
      <c r="V107" s="45"/>
      <c r="W107" s="76">
        <f t="shared" si="6"/>
        <v>0</v>
      </c>
      <c r="X107" s="77"/>
      <c r="Y107" s="77"/>
      <c r="Z107" s="78"/>
      <c r="AA107" s="43">
        <f>IF(W108=0,0,AE109/W108)</f>
        <v>0</v>
      </c>
      <c r="AB107" s="44"/>
      <c r="AC107" s="44"/>
      <c r="AD107" s="45"/>
      <c r="AE107" s="230">
        <f t="shared" si="7"/>
        <v>0</v>
      </c>
      <c r="AF107" s="231"/>
      <c r="AG107" s="232"/>
    </row>
    <row r="108" spans="1:33" ht="22.5" customHeight="1" x14ac:dyDescent="0.25">
      <c r="W108" s="76">
        <f>SUM(W94:Z107)</f>
        <v>0</v>
      </c>
      <c r="X108" s="77"/>
      <c r="Y108" s="77"/>
      <c r="Z108" s="78"/>
      <c r="AE108" s="76">
        <f>SUM(AE94:AG107)</f>
        <v>0</v>
      </c>
      <c r="AF108" s="77"/>
      <c r="AG108" s="78"/>
    </row>
    <row r="109" spans="1:33" x14ac:dyDescent="0.25">
      <c r="AB109" s="56" t="s">
        <v>66</v>
      </c>
      <c r="AC109" s="56"/>
      <c r="AD109" s="88"/>
      <c r="AE109" s="82">
        <f>AE32</f>
        <v>0</v>
      </c>
      <c r="AF109" s="83"/>
      <c r="AG109" s="84"/>
    </row>
    <row r="110" spans="1:33" x14ac:dyDescent="0.25">
      <c r="AB110" s="56"/>
      <c r="AC110" s="56"/>
      <c r="AD110" s="88"/>
      <c r="AE110" s="85"/>
      <c r="AF110" s="86"/>
      <c r="AG110" s="87"/>
    </row>
  </sheetData>
  <mergeCells count="658">
    <mergeCell ref="B68:B69"/>
    <mergeCell ref="C68:C69"/>
    <mergeCell ref="AC52:AC53"/>
    <mergeCell ref="I87:K87"/>
    <mergeCell ref="L87:R87"/>
    <mergeCell ref="I84:U84"/>
    <mergeCell ref="X82:AD82"/>
    <mergeCell ref="Z58:Z59"/>
    <mergeCell ref="S87:U87"/>
    <mergeCell ref="AB54:AB55"/>
    <mergeCell ref="Q4:R4"/>
    <mergeCell ref="U64:U65"/>
    <mergeCell ref="B79:Q79"/>
    <mergeCell ref="T60:T61"/>
    <mergeCell ref="C81:K81"/>
    <mergeCell ref="L81:M81"/>
    <mergeCell ref="F4:H4"/>
    <mergeCell ref="I4:P4"/>
    <mergeCell ref="D42:I42"/>
    <mergeCell ref="J42:O42"/>
    <mergeCell ref="P42:S42"/>
    <mergeCell ref="D86:Z86"/>
    <mergeCell ref="AE97:AG97"/>
    <mergeCell ref="AE109:AG110"/>
    <mergeCell ref="AB109:AD110"/>
    <mergeCell ref="W107:Z107"/>
    <mergeCell ref="AE103:AG103"/>
    <mergeCell ref="AE107:AG107"/>
    <mergeCell ref="W108:Z108"/>
    <mergeCell ref="AE108:AG108"/>
    <mergeCell ref="AA103:AD103"/>
    <mergeCell ref="AA107:AD107"/>
    <mergeCell ref="T99:V99"/>
    <mergeCell ref="W98:Z98"/>
    <mergeCell ref="W99:Z99"/>
    <mergeCell ref="AE101:AG101"/>
    <mergeCell ref="W101:Z101"/>
    <mergeCell ref="T101:V101"/>
    <mergeCell ref="AE98:AG98"/>
    <mergeCell ref="AA98:AD98"/>
    <mergeCell ref="T98:V98"/>
    <mergeCell ref="W100:Z100"/>
    <mergeCell ref="AE102:AG102"/>
    <mergeCell ref="AA101:AD101"/>
    <mergeCell ref="AA102:AD102"/>
    <mergeCell ref="AA99:AD99"/>
    <mergeCell ref="AA100:AD100"/>
    <mergeCell ref="AE100:AG100"/>
    <mergeCell ref="AE99:AG99"/>
    <mergeCell ref="W104:Z104"/>
    <mergeCell ref="L97:O97"/>
    <mergeCell ref="L98:O98"/>
    <mergeCell ref="L99:O99"/>
    <mergeCell ref="P97:S97"/>
    <mergeCell ref="P98:S98"/>
    <mergeCell ref="L103:O103"/>
    <mergeCell ref="P100:S100"/>
    <mergeCell ref="W102:Z102"/>
    <mergeCell ref="T97:V97"/>
    <mergeCell ref="P107:S107"/>
    <mergeCell ref="P102:S102"/>
    <mergeCell ref="T103:V103"/>
    <mergeCell ref="T107:V107"/>
    <mergeCell ref="T105:V105"/>
    <mergeCell ref="P103:S103"/>
    <mergeCell ref="T106:V106"/>
    <mergeCell ref="T104:V104"/>
    <mergeCell ref="T102:V102"/>
    <mergeCell ref="P105:S105"/>
    <mergeCell ref="B107:H107"/>
    <mergeCell ref="I103:K103"/>
    <mergeCell ref="I107:K107"/>
    <mergeCell ref="L107:O107"/>
    <mergeCell ref="B105:H105"/>
    <mergeCell ref="B104:H104"/>
    <mergeCell ref="I105:K105"/>
    <mergeCell ref="L105:O105"/>
    <mergeCell ref="I104:K104"/>
    <mergeCell ref="L104:O104"/>
    <mergeCell ref="I101:K101"/>
    <mergeCell ref="I102:K102"/>
    <mergeCell ref="B103:H103"/>
    <mergeCell ref="L101:O101"/>
    <mergeCell ref="B102:H102"/>
    <mergeCell ref="L102:O102"/>
    <mergeCell ref="W103:Z103"/>
    <mergeCell ref="B101:H101"/>
    <mergeCell ref="P101:S101"/>
    <mergeCell ref="I99:K99"/>
    <mergeCell ref="I100:K100"/>
    <mergeCell ref="L100:O100"/>
    <mergeCell ref="P99:S99"/>
    <mergeCell ref="B99:H99"/>
    <mergeCell ref="B100:H100"/>
    <mergeCell ref="T100:V100"/>
    <mergeCell ref="I96:K96"/>
    <mergeCell ref="I95:K95"/>
    <mergeCell ref="P96:S96"/>
    <mergeCell ref="P95:S95"/>
    <mergeCell ref="AE95:AG95"/>
    <mergeCell ref="I94:K94"/>
    <mergeCell ref="L94:O94"/>
    <mergeCell ref="P94:S94"/>
    <mergeCell ref="T94:V94"/>
    <mergeCell ref="T95:V95"/>
    <mergeCell ref="A89:AG89"/>
    <mergeCell ref="A91:A93"/>
    <mergeCell ref="B91:H93"/>
    <mergeCell ref="I91:K93"/>
    <mergeCell ref="L91:O93"/>
    <mergeCell ref="P91:S93"/>
    <mergeCell ref="T91:V93"/>
    <mergeCell ref="W91:Z93"/>
    <mergeCell ref="AE66:AE67"/>
    <mergeCell ref="AE64:AE65"/>
    <mergeCell ref="AD66:AD67"/>
    <mergeCell ref="AC58:AC59"/>
    <mergeCell ref="AE62:AE63"/>
    <mergeCell ref="AF58:AF59"/>
    <mergeCell ref="AD64:AD65"/>
    <mergeCell ref="AD60:AD61"/>
    <mergeCell ref="T52:T53"/>
    <mergeCell ref="U52:U53"/>
    <mergeCell ref="AF50:AF51"/>
    <mergeCell ref="AE46:AE47"/>
    <mergeCell ref="AE50:AE51"/>
    <mergeCell ref="AD52:AD53"/>
    <mergeCell ref="AE52:AE53"/>
    <mergeCell ref="AF52:AF53"/>
    <mergeCell ref="V52:V53"/>
    <mergeCell ref="AF46:AF47"/>
    <mergeCell ref="A48:A49"/>
    <mergeCell ref="B48:B49"/>
    <mergeCell ref="T79:AD79"/>
    <mergeCell ref="T77:X77"/>
    <mergeCell ref="Y77:AG77"/>
    <mergeCell ref="AD58:AD59"/>
    <mergeCell ref="V58:V59"/>
    <mergeCell ref="X58:X59"/>
    <mergeCell ref="Y58:Y59"/>
    <mergeCell ref="T58:T59"/>
    <mergeCell ref="A52:A53"/>
    <mergeCell ref="A54:A55"/>
    <mergeCell ref="A50:A51"/>
    <mergeCell ref="B50:B51"/>
    <mergeCell ref="C50:C51"/>
    <mergeCell ref="B56:B57"/>
    <mergeCell ref="B52:B53"/>
    <mergeCell ref="C52:C53"/>
    <mergeCell ref="B54:B55"/>
    <mergeCell ref="C54:C55"/>
    <mergeCell ref="AE4:AF4"/>
    <mergeCell ref="AA11:AB13"/>
    <mergeCell ref="AA4:AD4"/>
    <mergeCell ref="AA8:AD8"/>
    <mergeCell ref="AE8:AG8"/>
    <mergeCell ref="AG10:AG13"/>
    <mergeCell ref="AA5:AD5"/>
    <mergeCell ref="AE7:AG7"/>
    <mergeCell ref="AA7:AD7"/>
    <mergeCell ref="Q7:U7"/>
    <mergeCell ref="T14:U14"/>
    <mergeCell ref="V14:W14"/>
    <mergeCell ref="AA58:AA59"/>
    <mergeCell ref="Y52:Y53"/>
    <mergeCell ref="AG54:AG55"/>
    <mergeCell ref="AF54:AF55"/>
    <mergeCell ref="U58:U59"/>
    <mergeCell ref="AG56:AG57"/>
    <mergeCell ref="Z56:Z57"/>
    <mergeCell ref="AE3:AF3"/>
    <mergeCell ref="AA3:AD3"/>
    <mergeCell ref="A3:C3"/>
    <mergeCell ref="A2:F2"/>
    <mergeCell ref="V7:Z7"/>
    <mergeCell ref="AC11:AD13"/>
    <mergeCell ref="AE11:AF13"/>
    <mergeCell ref="I11:L13"/>
    <mergeCell ref="M12:O13"/>
    <mergeCell ref="AE5:AF5"/>
    <mergeCell ref="B1:E1"/>
    <mergeCell ref="G3:T3"/>
    <mergeCell ref="X62:X63"/>
    <mergeCell ref="Y62:Y63"/>
    <mergeCell ref="Z62:Z63"/>
    <mergeCell ref="X54:X55"/>
    <mergeCell ref="U60:U61"/>
    <mergeCell ref="U62:U63"/>
    <mergeCell ref="Y54:Y55"/>
    <mergeCell ref="C58:C59"/>
    <mergeCell ref="X72:X73"/>
    <mergeCell ref="X70:X71"/>
    <mergeCell ref="Z60:Z61"/>
    <mergeCell ref="Y72:Y73"/>
    <mergeCell ref="Z72:Z73"/>
    <mergeCell ref="AB62:AB63"/>
    <mergeCell ref="Y66:Y67"/>
    <mergeCell ref="Z66:Z67"/>
    <mergeCell ref="AA60:AA61"/>
    <mergeCell ref="Z64:Z65"/>
    <mergeCell ref="T64:T65"/>
    <mergeCell ref="U56:U57"/>
    <mergeCell ref="V72:V73"/>
    <mergeCell ref="W72:W73"/>
    <mergeCell ref="X66:X67"/>
    <mergeCell ref="V56:V57"/>
    <mergeCell ref="T72:T73"/>
    <mergeCell ref="T68:T69"/>
    <mergeCell ref="T70:T71"/>
    <mergeCell ref="U68:U69"/>
    <mergeCell ref="C60:C61"/>
    <mergeCell ref="AB60:AB61"/>
    <mergeCell ref="AB58:AB59"/>
    <mergeCell ref="AG64:AG65"/>
    <mergeCell ref="AF64:AF65"/>
    <mergeCell ref="V64:V65"/>
    <mergeCell ref="W64:W65"/>
    <mergeCell ref="X64:X65"/>
    <mergeCell ref="Y64:Y65"/>
    <mergeCell ref="AA64:AA65"/>
    <mergeCell ref="AB64:AB65"/>
    <mergeCell ref="AC64:AC65"/>
    <mergeCell ref="AF60:AF61"/>
    <mergeCell ref="AG60:AG61"/>
    <mergeCell ref="AC62:AC63"/>
    <mergeCell ref="AA62:AA63"/>
    <mergeCell ref="AF62:AF63"/>
    <mergeCell ref="AG62:AG63"/>
    <mergeCell ref="AD62:AD63"/>
    <mergeCell ref="AC60:AC61"/>
    <mergeCell ref="AA56:AA57"/>
    <mergeCell ref="AB56:AB57"/>
    <mergeCell ref="AC56:AC57"/>
    <mergeCell ref="AE56:AE57"/>
    <mergeCell ref="AD56:AD57"/>
    <mergeCell ref="AF56:AF57"/>
    <mergeCell ref="V60:V61"/>
    <mergeCell ref="W60:W61"/>
    <mergeCell ref="W58:W59"/>
    <mergeCell ref="Y60:Y61"/>
    <mergeCell ref="X56:X57"/>
    <mergeCell ref="X60:X61"/>
    <mergeCell ref="Y56:Y57"/>
    <mergeCell ref="A72:A73"/>
    <mergeCell ref="B64:B65"/>
    <mergeCell ref="B72:B73"/>
    <mergeCell ref="C66:C67"/>
    <mergeCell ref="C64:C65"/>
    <mergeCell ref="A66:A67"/>
    <mergeCell ref="B66:B67"/>
    <mergeCell ref="A64:A65"/>
    <mergeCell ref="C70:C71"/>
    <mergeCell ref="B70:B71"/>
    <mergeCell ref="A70:A71"/>
    <mergeCell ref="T62:T63"/>
    <mergeCell ref="V62:V63"/>
    <mergeCell ref="W62:W63"/>
    <mergeCell ref="A58:A59"/>
    <mergeCell ref="A60:A61"/>
    <mergeCell ref="A68:A69"/>
    <mergeCell ref="C62:C63"/>
    <mergeCell ref="A62:A63"/>
    <mergeCell ref="B58:B59"/>
    <mergeCell ref="B60:B61"/>
    <mergeCell ref="B62:B63"/>
    <mergeCell ref="A56:A57"/>
    <mergeCell ref="W54:W55"/>
    <mergeCell ref="U54:U55"/>
    <mergeCell ref="V54:V55"/>
    <mergeCell ref="T54:T55"/>
    <mergeCell ref="T56:T57"/>
    <mergeCell ref="C56:C57"/>
    <mergeCell ref="W56:W57"/>
    <mergeCell ref="Z54:Z55"/>
    <mergeCell ref="Z52:Z53"/>
    <mergeCell ref="AC54:AC55"/>
    <mergeCell ref="AA54:AA55"/>
    <mergeCell ref="AE54:AE55"/>
    <mergeCell ref="AD54:AD55"/>
    <mergeCell ref="AA52:AA53"/>
    <mergeCell ref="AB52:AB53"/>
    <mergeCell ref="W52:W53"/>
    <mergeCell ref="X52:X53"/>
    <mergeCell ref="V50:V51"/>
    <mergeCell ref="X50:X51"/>
    <mergeCell ref="AD50:AD51"/>
    <mergeCell ref="Z50:Z51"/>
    <mergeCell ref="AC50:AC51"/>
    <mergeCell ref="AA50:AA51"/>
    <mergeCell ref="AB50:AB51"/>
    <mergeCell ref="AA48:AA49"/>
    <mergeCell ref="AC46:AC47"/>
    <mergeCell ref="AD46:AD47"/>
    <mergeCell ref="AB46:AB47"/>
    <mergeCell ref="AB48:AB49"/>
    <mergeCell ref="AC48:AC49"/>
    <mergeCell ref="AD48:AD49"/>
    <mergeCell ref="AA46:AA47"/>
    <mergeCell ref="AB44:AE44"/>
    <mergeCell ref="C46:C47"/>
    <mergeCell ref="T46:T47"/>
    <mergeCell ref="AE48:AE49"/>
    <mergeCell ref="C48:C49"/>
    <mergeCell ref="T48:T49"/>
    <mergeCell ref="U46:U47"/>
    <mergeCell ref="Z46:Z47"/>
    <mergeCell ref="Z48:Z49"/>
    <mergeCell ref="V46:V47"/>
    <mergeCell ref="V12:W13"/>
    <mergeCell ref="Y43:AA43"/>
    <mergeCell ref="W46:W47"/>
    <mergeCell ref="X46:X47"/>
    <mergeCell ref="AA44:AA45"/>
    <mergeCell ref="X44:X45"/>
    <mergeCell ref="Y44:Y45"/>
    <mergeCell ref="V16:W16"/>
    <mergeCell ref="X16:Z16"/>
    <mergeCell ref="AA16:AB16"/>
    <mergeCell ref="A4:C4"/>
    <mergeCell ref="A6:C6"/>
    <mergeCell ref="A5:I5"/>
    <mergeCell ref="J5:W5"/>
    <mergeCell ref="G10:H13"/>
    <mergeCell ref="A10:A13"/>
    <mergeCell ref="M11:S11"/>
    <mergeCell ref="T11:W11"/>
    <mergeCell ref="V8:Z8"/>
    <mergeCell ref="Q8:U8"/>
    <mergeCell ref="AG44:AG45"/>
    <mergeCell ref="B40:H40"/>
    <mergeCell ref="Z44:Z45"/>
    <mergeCell ref="T43:X43"/>
    <mergeCell ref="B10:F13"/>
    <mergeCell ref="X10:AF10"/>
    <mergeCell ref="X11:Z13"/>
    <mergeCell ref="W44:W45"/>
    <mergeCell ref="AF44:AF45"/>
    <mergeCell ref="T44:V44"/>
    <mergeCell ref="D43:S43"/>
    <mergeCell ref="T50:T51"/>
    <mergeCell ref="V48:V49"/>
    <mergeCell ref="W48:W49"/>
    <mergeCell ref="X48:X49"/>
    <mergeCell ref="Y48:Y49"/>
    <mergeCell ref="Y46:Y47"/>
    <mergeCell ref="A43:A45"/>
    <mergeCell ref="U66:U67"/>
    <mergeCell ref="U48:U49"/>
    <mergeCell ref="U50:U51"/>
    <mergeCell ref="B38:AE38"/>
    <mergeCell ref="B43:B45"/>
    <mergeCell ref="W50:W51"/>
    <mergeCell ref="Y50:Y51"/>
    <mergeCell ref="A46:A47"/>
    <mergeCell ref="B46:B47"/>
    <mergeCell ref="X68:X69"/>
    <mergeCell ref="W66:W67"/>
    <mergeCell ref="W68:W69"/>
    <mergeCell ref="C43:C45"/>
    <mergeCell ref="C72:C73"/>
    <mergeCell ref="V68:V69"/>
    <mergeCell ref="T66:T67"/>
    <mergeCell ref="V66:V67"/>
    <mergeCell ref="U72:U73"/>
    <mergeCell ref="U70:U71"/>
    <mergeCell ref="Y70:Y71"/>
    <mergeCell ref="Z70:Z71"/>
    <mergeCell ref="AA70:AA71"/>
    <mergeCell ref="AB66:AB67"/>
    <mergeCell ref="V70:V71"/>
    <mergeCell ref="W70:W71"/>
    <mergeCell ref="AA68:AA69"/>
    <mergeCell ref="AA66:AA67"/>
    <mergeCell ref="Y68:Y69"/>
    <mergeCell ref="Z68:Z69"/>
    <mergeCell ref="B97:H97"/>
    <mergeCell ref="B98:H98"/>
    <mergeCell ref="AD68:AD69"/>
    <mergeCell ref="AE68:AE69"/>
    <mergeCell ref="AB70:AB71"/>
    <mergeCell ref="AC70:AC71"/>
    <mergeCell ref="AE70:AE71"/>
    <mergeCell ref="AD70:AD71"/>
    <mergeCell ref="AB68:AB69"/>
    <mergeCell ref="AC68:AC69"/>
    <mergeCell ref="W94:Z94"/>
    <mergeCell ref="AE96:AG96"/>
    <mergeCell ref="P104:S104"/>
    <mergeCell ref="B76:Q76"/>
    <mergeCell ref="Q74:S74"/>
    <mergeCell ref="B78:Q78"/>
    <mergeCell ref="B77:Q77"/>
    <mergeCell ref="L95:O95"/>
    <mergeCell ref="I97:K97"/>
    <mergeCell ref="L96:O96"/>
    <mergeCell ref="I98:K98"/>
    <mergeCell ref="B95:H95"/>
    <mergeCell ref="B96:H96"/>
    <mergeCell ref="AE91:AG93"/>
    <mergeCell ref="W106:Z106"/>
    <mergeCell ref="AA106:AD106"/>
    <mergeCell ref="AE106:AG106"/>
    <mergeCell ref="W96:Z96"/>
    <mergeCell ref="AE94:AG94"/>
    <mergeCell ref="W95:Z95"/>
    <mergeCell ref="AA94:AD94"/>
    <mergeCell ref="W97:Z97"/>
    <mergeCell ref="AA95:AD95"/>
    <mergeCell ref="AA104:AD104"/>
    <mergeCell ref="B94:H94"/>
    <mergeCell ref="B106:H106"/>
    <mergeCell ref="I106:K106"/>
    <mergeCell ref="L106:O106"/>
    <mergeCell ref="P106:S106"/>
    <mergeCell ref="T96:V96"/>
    <mergeCell ref="AE104:AG104"/>
    <mergeCell ref="AA72:AA73"/>
    <mergeCell ref="AB72:AB73"/>
    <mergeCell ref="AE72:AE73"/>
    <mergeCell ref="AF72:AF73"/>
    <mergeCell ref="AG72:AG73"/>
    <mergeCell ref="T76:AG76"/>
    <mergeCell ref="AA91:AD93"/>
    <mergeCell ref="AA96:AD96"/>
    <mergeCell ref="AA97:AD97"/>
    <mergeCell ref="AG50:AG51"/>
    <mergeCell ref="AF66:AF67"/>
    <mergeCell ref="AF48:AF49"/>
    <mergeCell ref="AG52:AG53"/>
    <mergeCell ref="AG58:AG59"/>
    <mergeCell ref="AC72:AC73"/>
    <mergeCell ref="AD72:AD73"/>
    <mergeCell ref="AC66:AC67"/>
    <mergeCell ref="AE60:AE61"/>
    <mergeCell ref="AE58:AE59"/>
    <mergeCell ref="AA105:AD105"/>
    <mergeCell ref="AE105:AG105"/>
    <mergeCell ref="W105:Z105"/>
    <mergeCell ref="AF68:AF69"/>
    <mergeCell ref="AB43:AG43"/>
    <mergeCell ref="AG48:AG49"/>
    <mergeCell ref="AF70:AF71"/>
    <mergeCell ref="AG70:AG71"/>
    <mergeCell ref="AG68:AG69"/>
    <mergeCell ref="AG66:AG67"/>
    <mergeCell ref="T15:U15"/>
    <mergeCell ref="E9:P9"/>
    <mergeCell ref="B14:F14"/>
    <mergeCell ref="G14:H14"/>
    <mergeCell ref="I14:L14"/>
    <mergeCell ref="M14:O14"/>
    <mergeCell ref="P14:S14"/>
    <mergeCell ref="I10:W10"/>
    <mergeCell ref="P12:S13"/>
    <mergeCell ref="T12:U13"/>
    <mergeCell ref="P16:S16"/>
    <mergeCell ref="X14:Z14"/>
    <mergeCell ref="AA14:AB14"/>
    <mergeCell ref="AC14:AD14"/>
    <mergeCell ref="AE14:AF14"/>
    <mergeCell ref="B15:F15"/>
    <mergeCell ref="G15:H15"/>
    <mergeCell ref="I15:L15"/>
    <mergeCell ref="M15:O15"/>
    <mergeCell ref="P15:S15"/>
    <mergeCell ref="AC16:AD16"/>
    <mergeCell ref="AE16:AF16"/>
    <mergeCell ref="V15:W15"/>
    <mergeCell ref="X15:Z15"/>
    <mergeCell ref="AA15:AB15"/>
    <mergeCell ref="AC15:AD15"/>
    <mergeCell ref="AE15:AF15"/>
    <mergeCell ref="B17:F17"/>
    <mergeCell ref="G17:H17"/>
    <mergeCell ref="I17:L17"/>
    <mergeCell ref="M17:O17"/>
    <mergeCell ref="P17:S17"/>
    <mergeCell ref="T16:U16"/>
    <mergeCell ref="B16:F16"/>
    <mergeCell ref="G16:H16"/>
    <mergeCell ref="I16:L16"/>
    <mergeCell ref="M16:O16"/>
    <mergeCell ref="T17:U17"/>
    <mergeCell ref="V17:W17"/>
    <mergeCell ref="X17:Z17"/>
    <mergeCell ref="AA17:AB17"/>
    <mergeCell ref="AC17:AD17"/>
    <mergeCell ref="AE17:AF17"/>
    <mergeCell ref="B18:F18"/>
    <mergeCell ref="G18:H18"/>
    <mergeCell ref="I18:L18"/>
    <mergeCell ref="M18:O18"/>
    <mergeCell ref="P18:S18"/>
    <mergeCell ref="T18:U18"/>
    <mergeCell ref="V18:W18"/>
    <mergeCell ref="X18:Z18"/>
    <mergeCell ref="AA18:AB18"/>
    <mergeCell ref="AC18:AD18"/>
    <mergeCell ref="AE18:AF18"/>
    <mergeCell ref="B19:F19"/>
    <mergeCell ref="G19:H19"/>
    <mergeCell ref="I19:L19"/>
    <mergeCell ref="M19:O19"/>
    <mergeCell ref="P19:S19"/>
    <mergeCell ref="T19:U19"/>
    <mergeCell ref="V19:W19"/>
    <mergeCell ref="X19:Z19"/>
    <mergeCell ref="AA19:AB19"/>
    <mergeCell ref="AC19:AD19"/>
    <mergeCell ref="AE19:AF19"/>
    <mergeCell ref="B20:F20"/>
    <mergeCell ref="G20:H20"/>
    <mergeCell ref="I20:L20"/>
    <mergeCell ref="M20:O20"/>
    <mergeCell ref="P20:S20"/>
    <mergeCell ref="T20:U20"/>
    <mergeCell ref="V20:W20"/>
    <mergeCell ref="X20:Z20"/>
    <mergeCell ref="AA20:AB20"/>
    <mergeCell ref="AC20:AD20"/>
    <mergeCell ref="AE20:AF20"/>
    <mergeCell ref="B21:F21"/>
    <mergeCell ref="G21:H21"/>
    <mergeCell ref="I21:L21"/>
    <mergeCell ref="M21:O21"/>
    <mergeCell ref="P21:S21"/>
    <mergeCell ref="T21:U21"/>
    <mergeCell ref="V21:W21"/>
    <mergeCell ref="X21:Z21"/>
    <mergeCell ref="AA21:AB21"/>
    <mergeCell ref="AC21:AD21"/>
    <mergeCell ref="AE21:AF21"/>
    <mergeCell ref="B22:F22"/>
    <mergeCell ref="G22:H22"/>
    <mergeCell ref="I22:L22"/>
    <mergeCell ref="M22:O22"/>
    <mergeCell ref="P22:S22"/>
    <mergeCell ref="T22:U22"/>
    <mergeCell ref="V22:W22"/>
    <mergeCell ref="X22:Z22"/>
    <mergeCell ref="AA22:AB22"/>
    <mergeCell ref="AC22:AD22"/>
    <mergeCell ref="AE22:AF22"/>
    <mergeCell ref="B23:F23"/>
    <mergeCell ref="G23:H23"/>
    <mergeCell ref="I23:L23"/>
    <mergeCell ref="M23:O23"/>
    <mergeCell ref="P23:S23"/>
    <mergeCell ref="T23:U23"/>
    <mergeCell ref="V23:W23"/>
    <mergeCell ref="X23:Z23"/>
    <mergeCell ref="AA23:AB23"/>
    <mergeCell ref="AC23:AD23"/>
    <mergeCell ref="AE23:AF23"/>
    <mergeCell ref="B24:F24"/>
    <mergeCell ref="G24:H24"/>
    <mergeCell ref="I24:L24"/>
    <mergeCell ref="M24:O24"/>
    <mergeCell ref="P24:S24"/>
    <mergeCell ref="T24:U24"/>
    <mergeCell ref="V24:W24"/>
    <mergeCell ref="X24:Z24"/>
    <mergeCell ref="AA24:AB24"/>
    <mergeCell ref="AC24:AD24"/>
    <mergeCell ref="AE24:AF24"/>
    <mergeCell ref="B25:F25"/>
    <mergeCell ref="G25:H25"/>
    <mergeCell ref="I25:L25"/>
    <mergeCell ref="M25:O25"/>
    <mergeCell ref="P25:S25"/>
    <mergeCell ref="T25:U25"/>
    <mergeCell ref="V25:W25"/>
    <mergeCell ref="X25:Z25"/>
    <mergeCell ref="AA25:AB25"/>
    <mergeCell ref="AC25:AD25"/>
    <mergeCell ref="AE25:AF25"/>
    <mergeCell ref="B26:F26"/>
    <mergeCell ref="G26:H26"/>
    <mergeCell ref="I26:L26"/>
    <mergeCell ref="M26:O26"/>
    <mergeCell ref="P26:S26"/>
    <mergeCell ref="T26:U26"/>
    <mergeCell ref="V26:W26"/>
    <mergeCell ref="X26:Z26"/>
    <mergeCell ref="AA26:AB26"/>
    <mergeCell ref="AC26:AD26"/>
    <mergeCell ref="AE26:AF26"/>
    <mergeCell ref="B27:F27"/>
    <mergeCell ref="G27:H27"/>
    <mergeCell ref="I27:L27"/>
    <mergeCell ref="M27:O27"/>
    <mergeCell ref="P27:S27"/>
    <mergeCell ref="T27:U27"/>
    <mergeCell ref="V27:W27"/>
    <mergeCell ref="X27:Z27"/>
    <mergeCell ref="AA27:AB27"/>
    <mergeCell ref="AC27:AD27"/>
    <mergeCell ref="AE27:AF27"/>
    <mergeCell ref="B28:F28"/>
    <mergeCell ref="G28:H28"/>
    <mergeCell ref="I28:L28"/>
    <mergeCell ref="M28:O28"/>
    <mergeCell ref="P28:S28"/>
    <mergeCell ref="T28:U28"/>
    <mergeCell ref="V28:W28"/>
    <mergeCell ref="X28:Z28"/>
    <mergeCell ref="AA28:AB28"/>
    <mergeCell ref="AC28:AD28"/>
    <mergeCell ref="AE28:AF28"/>
    <mergeCell ref="B29:F29"/>
    <mergeCell ref="G29:H29"/>
    <mergeCell ref="I29:L29"/>
    <mergeCell ref="M29:O29"/>
    <mergeCell ref="P29:S29"/>
    <mergeCell ref="T29:U29"/>
    <mergeCell ref="V29:W29"/>
    <mergeCell ref="X29:Z29"/>
    <mergeCell ref="AA29:AB29"/>
    <mergeCell ref="AC29:AD29"/>
    <mergeCell ref="AE29:AF29"/>
    <mergeCell ref="B30:F30"/>
    <mergeCell ref="G30:H30"/>
    <mergeCell ref="I30:L30"/>
    <mergeCell ref="M30:O30"/>
    <mergeCell ref="P30:S30"/>
    <mergeCell ref="T30:U30"/>
    <mergeCell ref="V30:W30"/>
    <mergeCell ref="X30:Z30"/>
    <mergeCell ref="AA30:AB30"/>
    <mergeCell ref="AC30:AD30"/>
    <mergeCell ref="AE30:AF30"/>
    <mergeCell ref="B31:F31"/>
    <mergeCell ref="G31:H31"/>
    <mergeCell ref="I31:L31"/>
    <mergeCell ref="M31:O31"/>
    <mergeCell ref="P31:S31"/>
    <mergeCell ref="T31:U31"/>
    <mergeCell ref="V31:W31"/>
    <mergeCell ref="X31:Z31"/>
    <mergeCell ref="AA31:AB31"/>
    <mergeCell ref="AC31:AD31"/>
    <mergeCell ref="AE31:AF31"/>
    <mergeCell ref="AB32:AD32"/>
    <mergeCell ref="AE32:AF32"/>
    <mergeCell ref="B34:F34"/>
    <mergeCell ref="G34:J34"/>
    <mergeCell ref="K34:L34"/>
    <mergeCell ref="T34:AB34"/>
    <mergeCell ref="D35:AC35"/>
    <mergeCell ref="B36:F36"/>
    <mergeCell ref="G36:J36"/>
    <mergeCell ref="K36:L36"/>
    <mergeCell ref="T36:AB36"/>
    <mergeCell ref="K90:U90"/>
    <mergeCell ref="T80:Y80"/>
    <mergeCell ref="Z80:AG80"/>
    <mergeCell ref="Z81:AG81"/>
    <mergeCell ref="AG46:AG47"/>
  </mergeCells>
  <phoneticPr fontId="2" type="noConversion"/>
  <pageMargins left="0.39370078740157483" right="0.39370078740157483" top="0.39370078740157483" bottom="0.39370078740157483" header="0.39370078740157483" footer="0.31496062992125984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"/>
  <sheetViews>
    <sheetView workbookViewId="0">
      <selection activeCell="AJ16" sqref="AJ16"/>
    </sheetView>
  </sheetViews>
  <sheetFormatPr defaultColWidth="9.1796875" defaultRowHeight="12.5" x14ac:dyDescent="0.25"/>
  <cols>
    <col min="1" max="1" width="7.81640625" style="1" customWidth="1"/>
    <col min="2" max="2" width="22.26953125" style="1" customWidth="1"/>
    <col min="3" max="3" width="4.453125" style="1" customWidth="1"/>
    <col min="4" max="4" width="2.7265625" style="1" customWidth="1"/>
    <col min="5" max="7" width="2.54296875" style="1" customWidth="1"/>
    <col min="8" max="14" width="2.7265625" style="1" customWidth="1"/>
    <col min="15" max="15" width="2.453125" style="1" customWidth="1"/>
    <col min="16" max="16" width="2.7265625" style="1" customWidth="1"/>
    <col min="17" max="17" width="2.54296875" style="1" customWidth="1"/>
    <col min="18" max="18" width="2.453125" style="1" customWidth="1"/>
    <col min="19" max="19" width="2.7265625" style="1" customWidth="1"/>
    <col min="20" max="26" width="3.7265625" style="1" customWidth="1"/>
    <col min="27" max="30" width="4.7265625" style="1" customWidth="1"/>
    <col min="31" max="31" width="4.81640625" style="1" customWidth="1"/>
    <col min="32" max="32" width="5.453125" style="1" customWidth="1"/>
    <col min="33" max="33" width="8.81640625" style="1" customWidth="1"/>
    <col min="34" max="16384" width="9.1796875" style="1"/>
  </cols>
  <sheetData>
    <row r="1" spans="1:33" x14ac:dyDescent="0.25">
      <c r="B1" s="47" t="s">
        <v>0</v>
      </c>
      <c r="C1" s="47"/>
      <c r="D1" s="47"/>
      <c r="E1" s="47"/>
    </row>
    <row r="2" spans="1:33" x14ac:dyDescent="0.25">
      <c r="A2" s="56" t="s">
        <v>73</v>
      </c>
      <c r="B2" s="56"/>
      <c r="C2" s="56"/>
      <c r="D2" s="56"/>
      <c r="E2" s="56"/>
      <c r="F2" s="56"/>
    </row>
    <row r="3" spans="1:33" x14ac:dyDescent="0.25">
      <c r="A3" s="56" t="s">
        <v>74</v>
      </c>
      <c r="B3" s="56"/>
      <c r="C3" s="56"/>
      <c r="G3" s="56" t="s">
        <v>34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AA3" s="43" t="s">
        <v>86</v>
      </c>
      <c r="AB3" s="44"/>
      <c r="AC3" s="44"/>
      <c r="AD3" s="45"/>
      <c r="AE3" s="43" t="s">
        <v>36</v>
      </c>
      <c r="AF3" s="45"/>
      <c r="AG3" s="3" t="s">
        <v>35</v>
      </c>
    </row>
    <row r="4" spans="1:33" ht="15.5" x14ac:dyDescent="0.45">
      <c r="A4" s="47"/>
      <c r="B4" s="47"/>
      <c r="C4" s="47"/>
      <c r="F4" s="149" t="s">
        <v>69</v>
      </c>
      <c r="G4" s="149"/>
      <c r="H4" s="149"/>
      <c r="I4" s="242" t="s">
        <v>141</v>
      </c>
      <c r="J4" s="242"/>
      <c r="K4" s="242"/>
      <c r="L4" s="242"/>
      <c r="M4" s="242"/>
      <c r="N4" s="242"/>
      <c r="O4" s="242"/>
      <c r="P4" s="242"/>
      <c r="Q4" s="59">
        <v>2024</v>
      </c>
      <c r="R4" s="59"/>
      <c r="S4" s="4" t="s">
        <v>76</v>
      </c>
      <c r="T4" s="4"/>
      <c r="U4" s="4"/>
      <c r="V4" s="4"/>
      <c r="W4" s="4"/>
      <c r="AA4" s="43" t="s">
        <v>1</v>
      </c>
      <c r="AB4" s="44"/>
      <c r="AC4" s="44"/>
      <c r="AD4" s="45"/>
      <c r="AE4" s="239" t="s">
        <v>100</v>
      </c>
      <c r="AF4" s="240"/>
      <c r="AG4" s="32" t="s">
        <v>100</v>
      </c>
    </row>
    <row r="5" spans="1:33" ht="27" customHeight="1" x14ac:dyDescent="0.25">
      <c r="A5" s="238" t="s">
        <v>140</v>
      </c>
      <c r="B5" s="238"/>
      <c r="C5" s="238"/>
      <c r="D5" s="238"/>
      <c r="E5" s="238"/>
      <c r="F5" s="238"/>
      <c r="G5" s="238"/>
      <c r="H5" s="238"/>
      <c r="I5" s="238"/>
      <c r="J5" s="192" t="s">
        <v>2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AA5" s="43" t="s">
        <v>3</v>
      </c>
      <c r="AB5" s="44"/>
      <c r="AC5" s="44"/>
      <c r="AD5" s="45"/>
      <c r="AE5" s="239" t="s">
        <v>101</v>
      </c>
      <c r="AF5" s="240"/>
      <c r="AG5" s="32" t="s">
        <v>101</v>
      </c>
    </row>
    <row r="6" spans="1:33" ht="12.75" customHeight="1" x14ac:dyDescent="0.25">
      <c r="A6" s="237" t="s">
        <v>118</v>
      </c>
      <c r="B6" s="48"/>
      <c r="C6" s="48"/>
      <c r="N6" s="6"/>
    </row>
    <row r="7" spans="1:33" ht="13" x14ac:dyDescent="0.3">
      <c r="A7" s="1" t="s">
        <v>119</v>
      </c>
      <c r="H7" s="7"/>
      <c r="I7" s="7"/>
      <c r="J7" s="7"/>
      <c r="K7" s="7"/>
      <c r="L7" s="7"/>
      <c r="M7" s="7"/>
      <c r="N7" s="7"/>
      <c r="O7" s="7"/>
      <c r="Q7" s="79" t="s">
        <v>8</v>
      </c>
      <c r="R7" s="80"/>
      <c r="S7" s="80"/>
      <c r="T7" s="80"/>
      <c r="U7" s="81"/>
      <c r="V7" s="79" t="s">
        <v>7</v>
      </c>
      <c r="W7" s="80"/>
      <c r="X7" s="80"/>
      <c r="Y7" s="80"/>
      <c r="Z7" s="81"/>
      <c r="AA7" s="79" t="s">
        <v>6</v>
      </c>
      <c r="AB7" s="80"/>
      <c r="AC7" s="80"/>
      <c r="AD7" s="81"/>
      <c r="AE7" s="79" t="s">
        <v>5</v>
      </c>
      <c r="AF7" s="80"/>
      <c r="AG7" s="81"/>
    </row>
    <row r="8" spans="1:33" x14ac:dyDescent="0.25">
      <c r="H8" s="7"/>
      <c r="I8" s="7"/>
      <c r="J8" s="7"/>
      <c r="K8" s="7"/>
      <c r="L8" s="7"/>
      <c r="M8" s="7"/>
      <c r="N8" s="7"/>
      <c r="O8" s="7"/>
      <c r="Q8" s="43"/>
      <c r="R8" s="44"/>
      <c r="S8" s="44"/>
      <c r="T8" s="44"/>
      <c r="U8" s="45"/>
      <c r="V8" s="43"/>
      <c r="W8" s="44"/>
      <c r="X8" s="44"/>
      <c r="Y8" s="44"/>
      <c r="Z8" s="45"/>
      <c r="AA8" s="43"/>
      <c r="AB8" s="44"/>
      <c r="AC8" s="44"/>
      <c r="AD8" s="45"/>
      <c r="AE8" s="43"/>
      <c r="AF8" s="44"/>
      <c r="AG8" s="45"/>
    </row>
    <row r="9" spans="1:33" ht="13" x14ac:dyDescent="0.3"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33" ht="12.75" customHeight="1" x14ac:dyDescent="0.25">
      <c r="A10" s="171" t="s">
        <v>50</v>
      </c>
      <c r="B10" s="183" t="s">
        <v>51</v>
      </c>
      <c r="C10" s="184"/>
      <c r="D10" s="184"/>
      <c r="E10" s="184"/>
      <c r="F10" s="185"/>
      <c r="G10" s="174" t="s">
        <v>49</v>
      </c>
      <c r="H10" s="175"/>
      <c r="I10" s="79" t="s">
        <v>38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43" t="s">
        <v>37</v>
      </c>
      <c r="Y10" s="44"/>
      <c r="Z10" s="44"/>
      <c r="AA10" s="44"/>
      <c r="AB10" s="44"/>
      <c r="AC10" s="44"/>
      <c r="AD10" s="44"/>
      <c r="AE10" s="44"/>
      <c r="AF10" s="45"/>
      <c r="AG10" s="129" t="s">
        <v>48</v>
      </c>
    </row>
    <row r="11" spans="1:33" ht="12.75" customHeight="1" x14ac:dyDescent="0.25">
      <c r="A11" s="172"/>
      <c r="B11" s="186"/>
      <c r="C11" s="187"/>
      <c r="D11" s="187"/>
      <c r="E11" s="187"/>
      <c r="F11" s="188"/>
      <c r="G11" s="176"/>
      <c r="H11" s="177"/>
      <c r="I11" s="132" t="s">
        <v>44</v>
      </c>
      <c r="J11" s="133"/>
      <c r="K11" s="133"/>
      <c r="L11" s="134"/>
      <c r="M11" s="79" t="s">
        <v>39</v>
      </c>
      <c r="N11" s="80"/>
      <c r="O11" s="80"/>
      <c r="P11" s="80"/>
      <c r="Q11" s="80"/>
      <c r="R11" s="80"/>
      <c r="S11" s="81"/>
      <c r="T11" s="79" t="s">
        <v>40</v>
      </c>
      <c r="U11" s="80"/>
      <c r="V11" s="80"/>
      <c r="W11" s="81"/>
      <c r="X11" s="132" t="s">
        <v>44</v>
      </c>
      <c r="Y11" s="133"/>
      <c r="Z11" s="134"/>
      <c r="AA11" s="50" t="s">
        <v>45</v>
      </c>
      <c r="AB11" s="52"/>
      <c r="AC11" s="141" t="s">
        <v>46</v>
      </c>
      <c r="AD11" s="142"/>
      <c r="AE11" s="132" t="s">
        <v>47</v>
      </c>
      <c r="AF11" s="134"/>
      <c r="AG11" s="130"/>
    </row>
    <row r="12" spans="1:33" ht="12.75" customHeight="1" x14ac:dyDescent="0.25">
      <c r="A12" s="172"/>
      <c r="B12" s="186"/>
      <c r="C12" s="187"/>
      <c r="D12" s="187"/>
      <c r="E12" s="187"/>
      <c r="F12" s="188"/>
      <c r="G12" s="176"/>
      <c r="H12" s="177"/>
      <c r="I12" s="135"/>
      <c r="J12" s="136"/>
      <c r="K12" s="136"/>
      <c r="L12" s="137"/>
      <c r="M12" s="50" t="s">
        <v>41</v>
      </c>
      <c r="N12" s="51"/>
      <c r="O12" s="52"/>
      <c r="P12" s="65" t="s">
        <v>42</v>
      </c>
      <c r="Q12" s="66"/>
      <c r="R12" s="66"/>
      <c r="S12" s="67"/>
      <c r="T12" s="50" t="s">
        <v>41</v>
      </c>
      <c r="U12" s="52"/>
      <c r="V12" s="50" t="s">
        <v>43</v>
      </c>
      <c r="W12" s="52"/>
      <c r="X12" s="135"/>
      <c r="Y12" s="136"/>
      <c r="Z12" s="137"/>
      <c r="AA12" s="147"/>
      <c r="AB12" s="148"/>
      <c r="AC12" s="143"/>
      <c r="AD12" s="144"/>
      <c r="AE12" s="135"/>
      <c r="AF12" s="137"/>
      <c r="AG12" s="130"/>
    </row>
    <row r="13" spans="1:33" x14ac:dyDescent="0.25">
      <c r="A13" s="173"/>
      <c r="B13" s="189"/>
      <c r="C13" s="190"/>
      <c r="D13" s="190"/>
      <c r="E13" s="190"/>
      <c r="F13" s="191"/>
      <c r="G13" s="178"/>
      <c r="H13" s="179"/>
      <c r="I13" s="138"/>
      <c r="J13" s="139"/>
      <c r="K13" s="139"/>
      <c r="L13" s="140"/>
      <c r="M13" s="53"/>
      <c r="N13" s="54"/>
      <c r="O13" s="55"/>
      <c r="P13" s="180"/>
      <c r="Q13" s="181"/>
      <c r="R13" s="181"/>
      <c r="S13" s="182"/>
      <c r="T13" s="53"/>
      <c r="U13" s="55"/>
      <c r="V13" s="53"/>
      <c r="W13" s="55"/>
      <c r="X13" s="138"/>
      <c r="Y13" s="139"/>
      <c r="Z13" s="140"/>
      <c r="AA13" s="53"/>
      <c r="AB13" s="55"/>
      <c r="AC13" s="145"/>
      <c r="AD13" s="146"/>
      <c r="AE13" s="138"/>
      <c r="AF13" s="140"/>
      <c r="AG13" s="131"/>
    </row>
    <row r="14" spans="1:33" ht="31.5" customHeight="1" x14ac:dyDescent="0.25">
      <c r="A14" s="28" t="s">
        <v>132</v>
      </c>
      <c r="B14" s="221" t="s">
        <v>133</v>
      </c>
      <c r="C14" s="222"/>
      <c r="D14" s="222"/>
      <c r="E14" s="222"/>
      <c r="F14" s="223"/>
      <c r="G14" s="248" t="s">
        <v>134</v>
      </c>
      <c r="H14" s="249"/>
      <c r="I14" s="224">
        <v>0.11</v>
      </c>
      <c r="J14" s="226"/>
      <c r="K14" s="226"/>
      <c r="L14" s="225"/>
      <c r="M14" s="245">
        <v>6.57</v>
      </c>
      <c r="N14" s="246"/>
      <c r="O14" s="247"/>
      <c r="P14" s="286">
        <v>14.65</v>
      </c>
      <c r="Q14" s="287"/>
      <c r="R14" s="287"/>
      <c r="S14" s="288"/>
      <c r="T14" s="258">
        <f t="shared" ref="T14:T22" si="0">I14*M14</f>
        <v>0.72270000000000001</v>
      </c>
      <c r="U14" s="260"/>
      <c r="V14" s="254">
        <f>I14*P14</f>
        <v>1.6115000000000002</v>
      </c>
      <c r="W14" s="255"/>
      <c r="X14" s="258">
        <f t="shared" ref="X14:X20" si="1">I14</f>
        <v>0.11</v>
      </c>
      <c r="Y14" s="259"/>
      <c r="Z14" s="260"/>
      <c r="AA14" s="258">
        <f t="shared" ref="AA14:AA22" si="2">T14</f>
        <v>0.72270000000000001</v>
      </c>
      <c r="AB14" s="260"/>
      <c r="AC14" s="258">
        <f t="shared" ref="AC14:AC22" si="3">M14</f>
        <v>6.57</v>
      </c>
      <c r="AD14" s="260"/>
      <c r="AE14" s="254">
        <f>ROUND(V14,2)</f>
        <v>1.61</v>
      </c>
      <c r="AF14" s="255"/>
      <c r="AG14" s="40"/>
    </row>
    <row r="15" spans="1:33" ht="45.75" customHeight="1" x14ac:dyDescent="0.25">
      <c r="A15" s="28" t="s">
        <v>158</v>
      </c>
      <c r="B15" s="281" t="s">
        <v>142</v>
      </c>
      <c r="C15" s="282"/>
      <c r="D15" s="282"/>
      <c r="E15" s="282"/>
      <c r="F15" s="283"/>
      <c r="G15" s="284" t="s">
        <v>143</v>
      </c>
      <c r="H15" s="285"/>
      <c r="I15" s="293">
        <v>1.6</v>
      </c>
      <c r="J15" s="294"/>
      <c r="K15" s="294"/>
      <c r="L15" s="295"/>
      <c r="M15" s="273">
        <v>19.649999999999999</v>
      </c>
      <c r="N15" s="274"/>
      <c r="O15" s="275"/>
      <c r="P15" s="276">
        <v>36.14</v>
      </c>
      <c r="Q15" s="277"/>
      <c r="R15" s="277"/>
      <c r="S15" s="278"/>
      <c r="T15" s="265">
        <f t="shared" si="0"/>
        <v>31.439999999999998</v>
      </c>
      <c r="U15" s="266"/>
      <c r="V15" s="290">
        <f>I15*P15</f>
        <v>57.824000000000005</v>
      </c>
      <c r="W15" s="291"/>
      <c r="X15" s="265">
        <f t="shared" si="1"/>
        <v>1.6</v>
      </c>
      <c r="Y15" s="292"/>
      <c r="Z15" s="266"/>
      <c r="AA15" s="265">
        <f t="shared" si="2"/>
        <v>31.439999999999998</v>
      </c>
      <c r="AB15" s="266"/>
      <c r="AC15" s="265">
        <f t="shared" si="3"/>
        <v>19.649999999999999</v>
      </c>
      <c r="AD15" s="266"/>
      <c r="AE15" s="290">
        <f>V15</f>
        <v>57.824000000000005</v>
      </c>
      <c r="AF15" s="291"/>
      <c r="AG15" s="40"/>
    </row>
    <row r="16" spans="1:33" ht="31.5" customHeight="1" x14ac:dyDescent="0.25">
      <c r="A16" s="28" t="s">
        <v>145</v>
      </c>
      <c r="B16" s="281" t="s">
        <v>144</v>
      </c>
      <c r="C16" s="282"/>
      <c r="D16" s="282"/>
      <c r="E16" s="282"/>
      <c r="F16" s="283"/>
      <c r="G16" s="284" t="s">
        <v>146</v>
      </c>
      <c r="H16" s="285"/>
      <c r="I16" s="293">
        <v>0.16</v>
      </c>
      <c r="J16" s="294"/>
      <c r="K16" s="294"/>
      <c r="L16" s="295"/>
      <c r="M16" s="273">
        <v>30.9</v>
      </c>
      <c r="N16" s="274"/>
      <c r="O16" s="275"/>
      <c r="P16" s="276">
        <v>59.33</v>
      </c>
      <c r="Q16" s="277"/>
      <c r="R16" s="277"/>
      <c r="S16" s="278"/>
      <c r="T16" s="265">
        <f t="shared" si="0"/>
        <v>4.944</v>
      </c>
      <c r="U16" s="266"/>
      <c r="V16" s="290">
        <f>P16*I16</f>
        <v>9.4928000000000008</v>
      </c>
      <c r="W16" s="291"/>
      <c r="X16" s="265">
        <f t="shared" si="1"/>
        <v>0.16</v>
      </c>
      <c r="Y16" s="292"/>
      <c r="Z16" s="266"/>
      <c r="AA16" s="265">
        <f t="shared" si="2"/>
        <v>4.944</v>
      </c>
      <c r="AB16" s="266"/>
      <c r="AC16" s="265">
        <f t="shared" si="3"/>
        <v>30.9</v>
      </c>
      <c r="AD16" s="266"/>
      <c r="AE16" s="290">
        <f>V16</f>
        <v>9.4928000000000008</v>
      </c>
      <c r="AF16" s="291"/>
      <c r="AG16" s="40"/>
    </row>
    <row r="17" spans="1:33" ht="59.25" customHeight="1" x14ac:dyDescent="0.25">
      <c r="A17" s="28" t="s">
        <v>148</v>
      </c>
      <c r="B17" s="281" t="s">
        <v>149</v>
      </c>
      <c r="C17" s="282"/>
      <c r="D17" s="282"/>
      <c r="E17" s="282"/>
      <c r="F17" s="283"/>
      <c r="G17" s="284" t="s">
        <v>136</v>
      </c>
      <c r="H17" s="285"/>
      <c r="I17" s="293">
        <v>15</v>
      </c>
      <c r="J17" s="294"/>
      <c r="K17" s="294"/>
      <c r="L17" s="295"/>
      <c r="M17" s="273">
        <v>0.24</v>
      </c>
      <c r="N17" s="274"/>
      <c r="O17" s="275"/>
      <c r="P17" s="273">
        <v>0.42</v>
      </c>
      <c r="Q17" s="274"/>
      <c r="R17" s="274"/>
      <c r="S17" s="275"/>
      <c r="T17" s="267">
        <f t="shared" si="0"/>
        <v>3.5999999999999996</v>
      </c>
      <c r="U17" s="268"/>
      <c r="V17" s="267">
        <f>I17*P17</f>
        <v>6.3</v>
      </c>
      <c r="W17" s="268"/>
      <c r="X17" s="273">
        <f t="shared" si="1"/>
        <v>15</v>
      </c>
      <c r="Y17" s="274"/>
      <c r="Z17" s="275"/>
      <c r="AA17" s="267">
        <f t="shared" si="2"/>
        <v>3.5999999999999996</v>
      </c>
      <c r="AB17" s="268"/>
      <c r="AC17" s="267">
        <f t="shared" si="3"/>
        <v>0.24</v>
      </c>
      <c r="AD17" s="268"/>
      <c r="AE17" s="267">
        <f>V17</f>
        <v>6.3</v>
      </c>
      <c r="AF17" s="268"/>
      <c r="AG17" s="40"/>
    </row>
    <row r="18" spans="1:33" ht="31.5" customHeight="1" x14ac:dyDescent="0.25">
      <c r="A18" s="28" t="s">
        <v>150</v>
      </c>
      <c r="B18" s="281" t="s">
        <v>152</v>
      </c>
      <c r="C18" s="282"/>
      <c r="D18" s="282"/>
      <c r="E18" s="282"/>
      <c r="F18" s="283"/>
      <c r="G18" s="284" t="s">
        <v>153</v>
      </c>
      <c r="H18" s="285"/>
      <c r="I18" s="293">
        <v>0.39900000000000002</v>
      </c>
      <c r="J18" s="294"/>
      <c r="K18" s="294"/>
      <c r="L18" s="295"/>
      <c r="M18" s="273">
        <v>0.6</v>
      </c>
      <c r="N18" s="274"/>
      <c r="O18" s="275"/>
      <c r="P18" s="273">
        <v>1.1499999999999999</v>
      </c>
      <c r="Q18" s="274"/>
      <c r="R18" s="274"/>
      <c r="S18" s="275"/>
      <c r="T18" s="267">
        <f t="shared" si="0"/>
        <v>0.2394</v>
      </c>
      <c r="U18" s="268"/>
      <c r="V18" s="267">
        <f>I18*P18</f>
        <v>0.45884999999999998</v>
      </c>
      <c r="W18" s="268"/>
      <c r="X18" s="273">
        <f t="shared" si="1"/>
        <v>0.39900000000000002</v>
      </c>
      <c r="Y18" s="274"/>
      <c r="Z18" s="275"/>
      <c r="AA18" s="267">
        <f t="shared" si="2"/>
        <v>0.2394</v>
      </c>
      <c r="AB18" s="268"/>
      <c r="AC18" s="267">
        <f t="shared" si="3"/>
        <v>0.6</v>
      </c>
      <c r="AD18" s="268"/>
      <c r="AE18" s="267">
        <f>V18</f>
        <v>0.45884999999999998</v>
      </c>
      <c r="AF18" s="268"/>
      <c r="AG18" s="40"/>
    </row>
    <row r="19" spans="1:33" ht="31.5" customHeight="1" x14ac:dyDescent="0.25">
      <c r="A19" s="28" t="s">
        <v>151</v>
      </c>
      <c r="B19" s="281" t="s">
        <v>154</v>
      </c>
      <c r="C19" s="282"/>
      <c r="D19" s="282"/>
      <c r="E19" s="282"/>
      <c r="F19" s="283"/>
      <c r="G19" s="284" t="s">
        <v>153</v>
      </c>
      <c r="H19" s="285"/>
      <c r="I19" s="293">
        <v>0.39900000000000002</v>
      </c>
      <c r="J19" s="294"/>
      <c r="K19" s="294"/>
      <c r="L19" s="295"/>
      <c r="M19" s="273">
        <v>0.48</v>
      </c>
      <c r="N19" s="274"/>
      <c r="O19" s="275"/>
      <c r="P19" s="273">
        <v>0.92</v>
      </c>
      <c r="Q19" s="274"/>
      <c r="R19" s="274"/>
      <c r="S19" s="275"/>
      <c r="T19" s="267">
        <f t="shared" si="0"/>
        <v>0.19152</v>
      </c>
      <c r="U19" s="268"/>
      <c r="V19" s="267">
        <f>I19*P19</f>
        <v>0.36708000000000002</v>
      </c>
      <c r="W19" s="268"/>
      <c r="X19" s="273">
        <f t="shared" si="1"/>
        <v>0.39900000000000002</v>
      </c>
      <c r="Y19" s="274"/>
      <c r="Z19" s="275"/>
      <c r="AA19" s="267">
        <f t="shared" si="2"/>
        <v>0.19152</v>
      </c>
      <c r="AB19" s="268"/>
      <c r="AC19" s="267">
        <f t="shared" si="3"/>
        <v>0.48</v>
      </c>
      <c r="AD19" s="268"/>
      <c r="AE19" s="267">
        <f>V19</f>
        <v>0.36708000000000002</v>
      </c>
      <c r="AF19" s="268"/>
      <c r="AG19" s="40"/>
    </row>
    <row r="20" spans="1:33" ht="49.5" customHeight="1" x14ac:dyDescent="0.25">
      <c r="A20" s="28" t="s">
        <v>147</v>
      </c>
      <c r="B20" s="219" t="s">
        <v>155</v>
      </c>
      <c r="C20" s="219"/>
      <c r="D20" s="219"/>
      <c r="E20" s="219"/>
      <c r="F20" s="219"/>
      <c r="G20" s="250" t="s">
        <v>135</v>
      </c>
      <c r="H20" s="250"/>
      <c r="I20" s="220">
        <v>10</v>
      </c>
      <c r="J20" s="220"/>
      <c r="K20" s="220"/>
      <c r="L20" s="220"/>
      <c r="M20" s="272">
        <v>0.87</v>
      </c>
      <c r="N20" s="272"/>
      <c r="O20" s="272"/>
      <c r="P20" s="272">
        <v>1.55</v>
      </c>
      <c r="Q20" s="272"/>
      <c r="R20" s="272"/>
      <c r="S20" s="272"/>
      <c r="T20" s="254">
        <f t="shared" si="0"/>
        <v>8.6999999999999993</v>
      </c>
      <c r="U20" s="255"/>
      <c r="V20" s="254">
        <f>I20*P20</f>
        <v>15.5</v>
      </c>
      <c r="W20" s="255"/>
      <c r="X20" s="258">
        <f t="shared" si="1"/>
        <v>10</v>
      </c>
      <c r="Y20" s="259"/>
      <c r="Z20" s="260"/>
      <c r="AA20" s="254">
        <f t="shared" si="2"/>
        <v>8.6999999999999993</v>
      </c>
      <c r="AB20" s="255"/>
      <c r="AC20" s="258">
        <f t="shared" si="3"/>
        <v>0.87</v>
      </c>
      <c r="AD20" s="260"/>
      <c r="AE20" s="254">
        <f>ROUND(V20,2)</f>
        <v>15.5</v>
      </c>
      <c r="AF20" s="255"/>
      <c r="AG20" s="41"/>
    </row>
    <row r="21" spans="1:33" ht="33.75" customHeight="1" x14ac:dyDescent="0.25">
      <c r="A21" s="28"/>
      <c r="B21" s="219" t="s">
        <v>139</v>
      </c>
      <c r="C21" s="219"/>
      <c r="D21" s="219"/>
      <c r="E21" s="219"/>
      <c r="F21" s="219"/>
      <c r="G21" s="250" t="s">
        <v>138</v>
      </c>
      <c r="H21" s="250"/>
      <c r="I21" s="220"/>
      <c r="J21" s="220"/>
      <c r="K21" s="220"/>
      <c r="L21" s="220"/>
      <c r="M21" s="289"/>
      <c r="N21" s="289"/>
      <c r="O21" s="289"/>
      <c r="P21" s="289"/>
      <c r="Q21" s="289"/>
      <c r="R21" s="289"/>
      <c r="S21" s="289"/>
      <c r="T21" s="261">
        <f t="shared" si="0"/>
        <v>0</v>
      </c>
      <c r="U21" s="262"/>
      <c r="V21" s="254"/>
      <c r="W21" s="255"/>
      <c r="X21" s="258"/>
      <c r="Y21" s="259"/>
      <c r="Z21" s="260"/>
      <c r="AA21" s="261">
        <f t="shared" si="2"/>
        <v>0</v>
      </c>
      <c r="AB21" s="262"/>
      <c r="AC21" s="263">
        <f t="shared" si="3"/>
        <v>0</v>
      </c>
      <c r="AD21" s="264"/>
      <c r="AE21" s="254"/>
      <c r="AF21" s="255"/>
      <c r="AG21" s="38"/>
    </row>
    <row r="22" spans="1:33" x14ac:dyDescent="0.25">
      <c r="A22" s="34"/>
      <c r="B22" s="207"/>
      <c r="C22" s="208"/>
      <c r="D22" s="208"/>
      <c r="E22" s="208"/>
      <c r="F22" s="209"/>
      <c r="G22" s="279"/>
      <c r="H22" s="280"/>
      <c r="I22" s="210"/>
      <c r="J22" s="212"/>
      <c r="K22" s="212"/>
      <c r="L22" s="211"/>
      <c r="M22" s="269"/>
      <c r="N22" s="270"/>
      <c r="O22" s="271"/>
      <c r="P22" s="269"/>
      <c r="Q22" s="270"/>
      <c r="R22" s="270"/>
      <c r="S22" s="271"/>
      <c r="T22" s="251">
        <f t="shared" si="0"/>
        <v>0</v>
      </c>
      <c r="U22" s="253"/>
      <c r="V22" s="256">
        <f>I22*P22</f>
        <v>0</v>
      </c>
      <c r="W22" s="257"/>
      <c r="X22" s="251">
        <f>I22</f>
        <v>0</v>
      </c>
      <c r="Y22" s="252"/>
      <c r="Z22" s="253"/>
      <c r="AA22" s="251">
        <f t="shared" si="2"/>
        <v>0</v>
      </c>
      <c r="AB22" s="253"/>
      <c r="AC22" s="251">
        <f t="shared" si="3"/>
        <v>0</v>
      </c>
      <c r="AD22" s="253"/>
      <c r="AE22" s="256">
        <f>ROUND(V22,2)</f>
        <v>0</v>
      </c>
      <c r="AF22" s="257"/>
      <c r="AG22" s="39"/>
    </row>
    <row r="23" spans="1:33" ht="13" x14ac:dyDescent="0.3">
      <c r="T23" s="66">
        <f>SUM(T14:U22)</f>
        <v>49.837620000000001</v>
      </c>
      <c r="U23" s="66"/>
      <c r="AB23" s="119" t="s">
        <v>52</v>
      </c>
      <c r="AC23" s="119"/>
      <c r="AD23" s="120"/>
      <c r="AE23" s="254">
        <f>AE14+AE15+AE16+AE17+AE18+AE19+AE20</f>
        <v>91.552729999999997</v>
      </c>
      <c r="AF23" s="255"/>
    </row>
    <row r="25" spans="1:33" x14ac:dyDescent="0.25">
      <c r="B25" s="46" t="s">
        <v>77</v>
      </c>
      <c r="C25" s="46"/>
      <c r="D25" s="46"/>
      <c r="E25" s="46"/>
      <c r="F25" s="46"/>
      <c r="G25" s="47" t="str">
        <f>I4</f>
        <v>Июль</v>
      </c>
      <c r="H25" s="47"/>
      <c r="I25" s="47"/>
      <c r="J25" s="47"/>
      <c r="K25" s="47">
        <f>Q4</f>
        <v>2024</v>
      </c>
      <c r="L25" s="47"/>
      <c r="M25" s="9" t="s">
        <v>76</v>
      </c>
      <c r="T25" s="46" t="s">
        <v>78</v>
      </c>
      <c r="U25" s="46"/>
      <c r="V25" s="46"/>
      <c r="W25" s="46"/>
      <c r="X25" s="46"/>
      <c r="Y25" s="46"/>
      <c r="Z25" s="46"/>
      <c r="AA25" s="46"/>
      <c r="AB25" s="46"/>
      <c r="AC25" s="33" t="str">
        <f>I4</f>
        <v>Июль</v>
      </c>
      <c r="AD25" s="9">
        <f>Q4</f>
        <v>2024</v>
      </c>
      <c r="AE25" s="9" t="s">
        <v>76</v>
      </c>
      <c r="AF25" s="9"/>
    </row>
    <row r="26" spans="1:33" x14ac:dyDescent="0.25">
      <c r="D26" s="46" t="s">
        <v>67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 spans="1:33" x14ac:dyDescent="0.25">
      <c r="B27" s="46" t="s">
        <v>82</v>
      </c>
      <c r="C27" s="46"/>
      <c r="D27" s="46"/>
      <c r="E27" s="46"/>
      <c r="F27" s="46"/>
      <c r="G27" s="47" t="str">
        <f>I4</f>
        <v>Июль</v>
      </c>
      <c r="H27" s="47"/>
      <c r="I27" s="47"/>
      <c r="J27" s="47"/>
      <c r="K27" s="47">
        <f>Q4</f>
        <v>2024</v>
      </c>
      <c r="L27" s="47"/>
      <c r="M27" s="9" t="s">
        <v>76</v>
      </c>
      <c r="T27" s="47" t="s">
        <v>80</v>
      </c>
      <c r="U27" s="47"/>
      <c r="V27" s="47"/>
      <c r="W27" s="47"/>
      <c r="X27" s="47"/>
      <c r="Y27" s="47"/>
      <c r="Z27" s="47"/>
      <c r="AA27" s="47"/>
      <c r="AB27" s="47"/>
      <c r="AC27" s="33" t="str">
        <f>I4</f>
        <v>Июль</v>
      </c>
      <c r="AD27" s="9">
        <f>Q4</f>
        <v>2024</v>
      </c>
      <c r="AE27" s="9" t="s">
        <v>76</v>
      </c>
      <c r="AF27" s="9"/>
    </row>
    <row r="28" spans="1:33" x14ac:dyDescent="0.25">
      <c r="B28" s="31"/>
      <c r="C28" s="31"/>
      <c r="D28" s="31"/>
      <c r="E28" s="31"/>
      <c r="F28" s="31"/>
      <c r="G28" s="30"/>
      <c r="H28" s="30"/>
      <c r="I28" s="30"/>
      <c r="J28" s="30"/>
      <c r="K28" s="30"/>
      <c r="L28" s="30"/>
      <c r="M28" s="9"/>
      <c r="T28" s="30"/>
      <c r="U28" s="30"/>
      <c r="V28" s="30"/>
      <c r="W28" s="30"/>
      <c r="X28" s="30"/>
      <c r="Y28" s="30"/>
      <c r="Z28" s="30"/>
      <c r="AA28" s="30"/>
      <c r="AB28" s="30"/>
      <c r="AC28" s="9"/>
      <c r="AD28" s="9"/>
      <c r="AE28" s="9"/>
      <c r="AF28" s="9"/>
    </row>
    <row r="29" spans="1:33" x14ac:dyDescent="0.25">
      <c r="B29" s="47" t="str">
        <f>ИТОГО!B38</f>
        <v xml:space="preserve">Нормы, расценки и сумма заработной платы проверил экономист: Яцевич Н. Г.  ____________________                    ________________________ " _____ " 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9">
        <f>Q4</f>
        <v>2024</v>
      </c>
      <c r="AG29" s="1" t="s">
        <v>76</v>
      </c>
    </row>
    <row r="31" spans="1:33" x14ac:dyDescent="0.25">
      <c r="B31" s="46" t="s">
        <v>137</v>
      </c>
      <c r="C31" s="46"/>
      <c r="D31" s="46"/>
      <c r="E31" s="46"/>
      <c r="F31" s="46"/>
      <c r="G31" s="46"/>
      <c r="H31" s="46"/>
    </row>
    <row r="32" spans="1:33" ht="168" customHeight="1" x14ac:dyDescent="0.25"/>
    <row r="33" spans="1:33" ht="13" x14ac:dyDescent="0.3">
      <c r="D33" s="60" t="s">
        <v>70</v>
      </c>
      <c r="E33" s="60"/>
      <c r="F33" s="60"/>
      <c r="G33" s="60"/>
      <c r="H33" s="60"/>
      <c r="I33" s="60"/>
      <c r="J33" s="61" t="str">
        <f>I4</f>
        <v>Июль</v>
      </c>
      <c r="K33" s="61"/>
      <c r="L33" s="61"/>
      <c r="M33" s="61"/>
      <c r="N33" s="61"/>
      <c r="O33" s="61"/>
      <c r="P33" s="62">
        <f>Q4</f>
        <v>2024</v>
      </c>
      <c r="Q33" s="62"/>
      <c r="R33" s="62"/>
      <c r="S33" s="62"/>
    </row>
    <row r="34" spans="1:33" ht="12.75" customHeight="1" x14ac:dyDescent="0.25">
      <c r="A34" s="160" t="s">
        <v>27</v>
      </c>
      <c r="B34" s="110" t="s">
        <v>26</v>
      </c>
      <c r="C34" s="164" t="s">
        <v>25</v>
      </c>
      <c r="D34" s="43" t="s">
        <v>9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5"/>
      <c r="T34" s="43" t="s">
        <v>10</v>
      </c>
      <c r="U34" s="44"/>
      <c r="V34" s="44"/>
      <c r="W34" s="44"/>
      <c r="X34" s="45"/>
      <c r="Y34" s="43" t="s">
        <v>11</v>
      </c>
      <c r="Z34" s="44"/>
      <c r="AA34" s="45"/>
      <c r="AB34" s="43" t="s">
        <v>12</v>
      </c>
      <c r="AC34" s="44"/>
      <c r="AD34" s="44"/>
      <c r="AE34" s="44"/>
      <c r="AF34" s="44"/>
      <c r="AG34" s="45"/>
    </row>
    <row r="35" spans="1:33" ht="18" customHeight="1" x14ac:dyDescent="0.25">
      <c r="A35" s="166"/>
      <c r="B35" s="111"/>
      <c r="C35" s="167"/>
      <c r="D35" s="10">
        <v>1</v>
      </c>
      <c r="E35" s="10">
        <v>2</v>
      </c>
      <c r="F35" s="10">
        <v>3</v>
      </c>
      <c r="G35" s="11">
        <v>4</v>
      </c>
      <c r="H35" s="10">
        <v>5</v>
      </c>
      <c r="I35" s="10">
        <v>6</v>
      </c>
      <c r="J35" s="10">
        <v>7</v>
      </c>
      <c r="K35" s="10">
        <v>8</v>
      </c>
      <c r="L35" s="10">
        <v>9</v>
      </c>
      <c r="M35" s="10">
        <v>10</v>
      </c>
      <c r="N35" s="10">
        <v>11</v>
      </c>
      <c r="O35" s="11">
        <v>12</v>
      </c>
      <c r="P35" s="10">
        <v>13</v>
      </c>
      <c r="Q35" s="10">
        <v>14</v>
      </c>
      <c r="R35" s="10">
        <v>15</v>
      </c>
      <c r="S35" s="8" t="s">
        <v>13</v>
      </c>
      <c r="T35" s="157" t="s">
        <v>14</v>
      </c>
      <c r="U35" s="158"/>
      <c r="V35" s="159"/>
      <c r="W35" s="160" t="s">
        <v>18</v>
      </c>
      <c r="X35" s="153" t="s">
        <v>19</v>
      </c>
      <c r="Y35" s="193" t="s">
        <v>15</v>
      </c>
      <c r="Z35" s="162" t="s">
        <v>20</v>
      </c>
      <c r="AA35" s="164" t="s">
        <v>19</v>
      </c>
      <c r="AB35" s="43" t="s">
        <v>21</v>
      </c>
      <c r="AC35" s="44"/>
      <c r="AD35" s="44"/>
      <c r="AE35" s="45"/>
      <c r="AF35" s="202" t="s">
        <v>23</v>
      </c>
      <c r="AG35" s="200" t="s">
        <v>24</v>
      </c>
    </row>
    <row r="36" spans="1:33" ht="18" customHeight="1" x14ac:dyDescent="0.25">
      <c r="A36" s="161"/>
      <c r="B36" s="112"/>
      <c r="C36" s="165"/>
      <c r="D36" s="10">
        <v>16</v>
      </c>
      <c r="E36" s="10">
        <v>17</v>
      </c>
      <c r="F36" s="10">
        <v>18</v>
      </c>
      <c r="G36" s="10">
        <v>19</v>
      </c>
      <c r="H36" s="10">
        <v>20</v>
      </c>
      <c r="I36" s="10">
        <v>21</v>
      </c>
      <c r="J36" s="10">
        <v>22</v>
      </c>
      <c r="K36" s="10">
        <v>23</v>
      </c>
      <c r="L36" s="10">
        <v>24</v>
      </c>
      <c r="M36" s="10">
        <v>25</v>
      </c>
      <c r="N36" s="10">
        <v>26</v>
      </c>
      <c r="O36" s="10">
        <v>27</v>
      </c>
      <c r="P36" s="10">
        <v>28</v>
      </c>
      <c r="Q36" s="10">
        <v>29</v>
      </c>
      <c r="R36" s="10">
        <v>30</v>
      </c>
      <c r="S36" s="10">
        <v>31</v>
      </c>
      <c r="T36" s="12" t="s">
        <v>15</v>
      </c>
      <c r="U36" s="13" t="s">
        <v>16</v>
      </c>
      <c r="V36" s="13" t="s">
        <v>17</v>
      </c>
      <c r="W36" s="161"/>
      <c r="X36" s="154"/>
      <c r="Y36" s="194"/>
      <c r="Z36" s="163"/>
      <c r="AA36" s="165"/>
      <c r="AB36" s="14" t="s">
        <v>15</v>
      </c>
      <c r="AC36" s="12" t="s">
        <v>22</v>
      </c>
      <c r="AD36" s="12" t="s">
        <v>17</v>
      </c>
      <c r="AE36" s="12" t="s">
        <v>18</v>
      </c>
      <c r="AF36" s="203"/>
      <c r="AG36" s="201"/>
    </row>
    <row r="37" spans="1:33" x14ac:dyDescent="0.25">
      <c r="A37" s="57">
        <v>1</v>
      </c>
      <c r="B37" s="235" t="s">
        <v>122</v>
      </c>
      <c r="C37" s="233">
        <v>4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>
        <v>8</v>
      </c>
      <c r="O37" s="21"/>
      <c r="P37" s="21"/>
      <c r="Q37" s="21"/>
      <c r="R37" s="21"/>
      <c r="S37" s="21"/>
      <c r="T37" s="69"/>
      <c r="U37" s="57">
        <v>8</v>
      </c>
      <c r="V37" s="57"/>
      <c r="W37" s="155"/>
      <c r="X37" s="69">
        <f>SUM(T37:W38)</f>
        <v>8</v>
      </c>
      <c r="Y37" s="115"/>
      <c r="Z37" s="115">
        <v>1</v>
      </c>
      <c r="AA37" s="57">
        <f>SUM(Y37:Z38)</f>
        <v>1</v>
      </c>
      <c r="AB37" s="57"/>
      <c r="AC37" s="57"/>
      <c r="AD37" s="57"/>
      <c r="AE37" s="57"/>
      <c r="AF37" s="57"/>
      <c r="AG37" s="113">
        <v>16.96</v>
      </c>
    </row>
    <row r="38" spans="1:33" x14ac:dyDescent="0.25">
      <c r="A38" s="58"/>
      <c r="B38" s="236"/>
      <c r="C38" s="23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>
        <v>8</v>
      </c>
      <c r="O38" s="21"/>
      <c r="P38" s="21"/>
      <c r="Q38" s="21"/>
      <c r="R38" s="21"/>
      <c r="S38" s="21"/>
      <c r="T38" s="70"/>
      <c r="U38" s="58"/>
      <c r="V38" s="58"/>
      <c r="W38" s="156"/>
      <c r="X38" s="70"/>
      <c r="Y38" s="116"/>
      <c r="Z38" s="116"/>
      <c r="AA38" s="58"/>
      <c r="AB38" s="58"/>
      <c r="AC38" s="58"/>
      <c r="AD38" s="58"/>
      <c r="AE38" s="58"/>
      <c r="AF38" s="58"/>
      <c r="AG38" s="114"/>
    </row>
    <row r="39" spans="1:33" x14ac:dyDescent="0.25">
      <c r="A39" s="57">
        <v>2</v>
      </c>
      <c r="B39" s="235" t="s">
        <v>120</v>
      </c>
      <c r="C39" s="233">
        <v>3</v>
      </c>
      <c r="D39" s="21"/>
      <c r="E39" s="21"/>
      <c r="F39" s="21"/>
      <c r="G39" s="21"/>
      <c r="H39" s="21"/>
      <c r="I39" s="21"/>
      <c r="J39" s="21"/>
      <c r="K39" s="21"/>
      <c r="L39" s="21">
        <v>8</v>
      </c>
      <c r="M39" s="21"/>
      <c r="N39" s="21"/>
      <c r="O39" s="21"/>
      <c r="P39" s="21"/>
      <c r="Q39" s="21"/>
      <c r="R39" s="21"/>
      <c r="S39" s="21"/>
      <c r="T39" s="69"/>
      <c r="U39" s="57">
        <v>16</v>
      </c>
      <c r="V39" s="57"/>
      <c r="W39" s="57"/>
      <c r="X39" s="69">
        <f>SUM(T39:W40)</f>
        <v>16</v>
      </c>
      <c r="Y39" s="115"/>
      <c r="Z39" s="115">
        <v>2</v>
      </c>
      <c r="AA39" s="57">
        <f>SUM(Y39:Z40)</f>
        <v>2</v>
      </c>
      <c r="AB39" s="57"/>
      <c r="AC39" s="57"/>
      <c r="AD39" s="57"/>
      <c r="AE39" s="57"/>
      <c r="AF39" s="57"/>
      <c r="AG39" s="113">
        <v>29.12</v>
      </c>
    </row>
    <row r="40" spans="1:33" x14ac:dyDescent="0.25">
      <c r="A40" s="58"/>
      <c r="B40" s="236"/>
      <c r="C40" s="234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70"/>
      <c r="U40" s="58"/>
      <c r="V40" s="58"/>
      <c r="W40" s="58"/>
      <c r="X40" s="70"/>
      <c r="Y40" s="116"/>
      <c r="Z40" s="116"/>
      <c r="AA40" s="58"/>
      <c r="AB40" s="58"/>
      <c r="AC40" s="58"/>
      <c r="AD40" s="58"/>
      <c r="AE40" s="58"/>
      <c r="AF40" s="58"/>
      <c r="AG40" s="114"/>
    </row>
    <row r="41" spans="1:33" x14ac:dyDescent="0.25">
      <c r="A41" s="57">
        <v>3</v>
      </c>
      <c r="B41" s="57" t="s">
        <v>127</v>
      </c>
      <c r="C41" s="243">
        <v>4</v>
      </c>
      <c r="D41" s="21"/>
      <c r="E41" s="21"/>
      <c r="F41" s="21"/>
      <c r="G41" s="21"/>
      <c r="H41" s="21"/>
      <c r="I41" s="21"/>
      <c r="J41" s="21"/>
      <c r="K41" s="21">
        <v>8</v>
      </c>
      <c r="L41" s="21">
        <v>8</v>
      </c>
      <c r="M41" s="21">
        <v>8</v>
      </c>
      <c r="N41" s="21">
        <v>8</v>
      </c>
      <c r="O41" s="21"/>
      <c r="P41" s="21"/>
      <c r="Q41" s="21"/>
      <c r="R41" s="21"/>
      <c r="S41" s="21"/>
      <c r="T41" s="69"/>
      <c r="U41" s="57">
        <v>16</v>
      </c>
      <c r="V41" s="57"/>
      <c r="W41" s="57"/>
      <c r="X41" s="69">
        <f>SUM(T41:W42)</f>
        <v>16</v>
      </c>
      <c r="Y41" s="115"/>
      <c r="Z41" s="115">
        <v>2</v>
      </c>
      <c r="AA41" s="57">
        <f>SUM(Y41:Z42)</f>
        <v>2</v>
      </c>
      <c r="AB41" s="57"/>
      <c r="AC41" s="57"/>
      <c r="AD41" s="57"/>
      <c r="AE41" s="57"/>
      <c r="AF41" s="57"/>
      <c r="AG41" s="113">
        <v>29.12</v>
      </c>
    </row>
    <row r="42" spans="1:33" x14ac:dyDescent="0.25">
      <c r="A42" s="58"/>
      <c r="B42" s="58"/>
      <c r="C42" s="24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70"/>
      <c r="U42" s="58"/>
      <c r="V42" s="58"/>
      <c r="W42" s="58"/>
      <c r="X42" s="70"/>
      <c r="Y42" s="116"/>
      <c r="Z42" s="116"/>
      <c r="AA42" s="58"/>
      <c r="AB42" s="58"/>
      <c r="AC42" s="58"/>
      <c r="AD42" s="58"/>
      <c r="AE42" s="58"/>
      <c r="AF42" s="58"/>
      <c r="AG42" s="114"/>
    </row>
    <row r="43" spans="1:33" x14ac:dyDescent="0.25">
      <c r="A43" s="57">
        <v>4</v>
      </c>
      <c r="B43" s="57" t="s">
        <v>156</v>
      </c>
      <c r="C43" s="57">
        <v>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69"/>
      <c r="U43" s="57">
        <v>16</v>
      </c>
      <c r="V43" s="57"/>
      <c r="W43" s="155"/>
      <c r="X43" s="69">
        <f>SUM(T43:W44)</f>
        <v>16</v>
      </c>
      <c r="Y43" s="115"/>
      <c r="Z43" s="115">
        <v>2</v>
      </c>
      <c r="AA43" s="57">
        <f>SUM(Y43:Z44)</f>
        <v>2</v>
      </c>
      <c r="AB43" s="57"/>
      <c r="AC43" s="57"/>
      <c r="AD43" s="57"/>
      <c r="AE43" s="57"/>
      <c r="AF43" s="57"/>
      <c r="AG43" s="113">
        <v>29.12</v>
      </c>
    </row>
    <row r="44" spans="1:33" x14ac:dyDescent="0.25">
      <c r="A44" s="244"/>
      <c r="B44" s="244"/>
      <c r="C44" s="24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>
        <v>8</v>
      </c>
      <c r="P44" s="21"/>
      <c r="Q44" s="21"/>
      <c r="R44" s="21"/>
      <c r="S44" s="21"/>
      <c r="T44" s="70"/>
      <c r="U44" s="58"/>
      <c r="V44" s="58"/>
      <c r="W44" s="156"/>
      <c r="X44" s="70"/>
      <c r="Y44" s="116"/>
      <c r="Z44" s="116"/>
      <c r="AA44" s="58"/>
      <c r="AB44" s="58"/>
      <c r="AC44" s="58"/>
      <c r="AD44" s="58"/>
      <c r="AE44" s="58"/>
      <c r="AF44" s="58"/>
      <c r="AG44" s="114"/>
    </row>
    <row r="45" spans="1:33" x14ac:dyDescent="0.25">
      <c r="A45" s="243">
        <v>5</v>
      </c>
      <c r="B45" s="243" t="s">
        <v>157</v>
      </c>
      <c r="C45" s="243">
        <v>3</v>
      </c>
      <c r="D45" s="21"/>
      <c r="E45" s="21">
        <v>7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69"/>
      <c r="U45" s="57">
        <v>8</v>
      </c>
      <c r="V45" s="57"/>
      <c r="W45" s="155"/>
      <c r="X45" s="69">
        <f>SUM(T45:W46)</f>
        <v>8</v>
      </c>
      <c r="Y45" s="115"/>
      <c r="Z45" s="115">
        <v>1</v>
      </c>
      <c r="AA45" s="57">
        <f>SUM(Y45:Z46)</f>
        <v>1</v>
      </c>
      <c r="AB45" s="57"/>
      <c r="AC45" s="57"/>
      <c r="AD45" s="57"/>
      <c r="AE45" s="57"/>
      <c r="AF45" s="57"/>
      <c r="AG45" s="113">
        <v>14.56</v>
      </c>
    </row>
    <row r="46" spans="1:33" x14ac:dyDescent="0.25">
      <c r="A46" s="243"/>
      <c r="B46" s="243"/>
      <c r="C46" s="24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70"/>
      <c r="U46" s="58"/>
      <c r="V46" s="58"/>
      <c r="W46" s="156"/>
      <c r="X46" s="70"/>
      <c r="Y46" s="116"/>
      <c r="Z46" s="116"/>
      <c r="AA46" s="58"/>
      <c r="AB46" s="58"/>
      <c r="AC46" s="58"/>
      <c r="AD46" s="58"/>
      <c r="AE46" s="58"/>
      <c r="AF46" s="58"/>
      <c r="AG46" s="114"/>
    </row>
    <row r="47" spans="1:33" x14ac:dyDescent="0.25">
      <c r="A47" s="57">
        <v>6</v>
      </c>
      <c r="B47" s="57"/>
      <c r="C47" s="24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69"/>
      <c r="U47" s="57">
        <v>16</v>
      </c>
      <c r="V47" s="57"/>
      <c r="W47" s="155"/>
      <c r="X47" s="69">
        <f>SUM(T47:W48)</f>
        <v>16</v>
      </c>
      <c r="Y47" s="115"/>
      <c r="Z47" s="115">
        <v>2</v>
      </c>
      <c r="AA47" s="57">
        <f>SUM(Y47:Z48)</f>
        <v>2</v>
      </c>
      <c r="AB47" s="57"/>
      <c r="AC47" s="57"/>
      <c r="AD47" s="57"/>
      <c r="AE47" s="57"/>
      <c r="AF47" s="57"/>
      <c r="AG47" s="113">
        <v>33.92</v>
      </c>
    </row>
    <row r="48" spans="1:33" x14ac:dyDescent="0.25">
      <c r="A48" s="58"/>
      <c r="B48" s="58"/>
      <c r="C48" s="24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70"/>
      <c r="U48" s="58"/>
      <c r="V48" s="58"/>
      <c r="W48" s="156"/>
      <c r="X48" s="70"/>
      <c r="Y48" s="116"/>
      <c r="Z48" s="116"/>
      <c r="AA48" s="58"/>
      <c r="AB48" s="58"/>
      <c r="AC48" s="58"/>
      <c r="AD48" s="58"/>
      <c r="AE48" s="58"/>
      <c r="AF48" s="58"/>
      <c r="AG48" s="114"/>
    </row>
    <row r="49" spans="1:33" x14ac:dyDescent="0.25">
      <c r="A49" s="57"/>
      <c r="B49" s="57"/>
      <c r="C49" s="57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69"/>
      <c r="U49" s="57">
        <v>8</v>
      </c>
      <c r="V49" s="57"/>
      <c r="W49" s="155"/>
      <c r="X49" s="69">
        <f>SUM(T49:W50)</f>
        <v>8</v>
      </c>
      <c r="Y49" s="115"/>
      <c r="Z49" s="115">
        <v>1</v>
      </c>
      <c r="AA49" s="57">
        <f>SUM(Y49:Z50)</f>
        <v>1</v>
      </c>
      <c r="AB49" s="57"/>
      <c r="AC49" s="57"/>
      <c r="AD49" s="57"/>
      <c r="AE49" s="57"/>
      <c r="AF49" s="57"/>
      <c r="AG49" s="113">
        <v>14.56</v>
      </c>
    </row>
    <row r="50" spans="1:33" x14ac:dyDescent="0.25">
      <c r="A50" s="58"/>
      <c r="B50" s="58"/>
      <c r="C50" s="5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70"/>
      <c r="U50" s="58"/>
      <c r="V50" s="58"/>
      <c r="W50" s="156"/>
      <c r="X50" s="70"/>
      <c r="Y50" s="116"/>
      <c r="Z50" s="116"/>
      <c r="AA50" s="58"/>
      <c r="AB50" s="58"/>
      <c r="AC50" s="58"/>
      <c r="AD50" s="58"/>
      <c r="AE50" s="58"/>
      <c r="AF50" s="58"/>
      <c r="AG50" s="114"/>
    </row>
    <row r="51" spans="1:33" x14ac:dyDescent="0.25">
      <c r="A51" s="57"/>
      <c r="B51" s="57"/>
      <c r="C51" s="5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69"/>
      <c r="U51" s="57">
        <v>8</v>
      </c>
      <c r="V51" s="57"/>
      <c r="W51" s="155"/>
      <c r="X51" s="69">
        <f>SUM(T51:W52)</f>
        <v>8</v>
      </c>
      <c r="Y51" s="115"/>
      <c r="Z51" s="115">
        <v>1</v>
      </c>
      <c r="AA51" s="57">
        <f>SUM(Y51:Z52)</f>
        <v>1</v>
      </c>
      <c r="AB51" s="57"/>
      <c r="AC51" s="57"/>
      <c r="AD51" s="57"/>
      <c r="AE51" s="57"/>
      <c r="AF51" s="57"/>
      <c r="AG51" s="113">
        <v>16.96</v>
      </c>
    </row>
    <row r="52" spans="1:33" x14ac:dyDescent="0.25">
      <c r="A52" s="58"/>
      <c r="B52" s="58"/>
      <c r="C52" s="58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70"/>
      <c r="U52" s="58"/>
      <c r="V52" s="58"/>
      <c r="W52" s="156"/>
      <c r="X52" s="70"/>
      <c r="Y52" s="116"/>
      <c r="Z52" s="116"/>
      <c r="AA52" s="58"/>
      <c r="AB52" s="58"/>
      <c r="AC52" s="58"/>
      <c r="AD52" s="58"/>
      <c r="AE52" s="58"/>
      <c r="AF52" s="58"/>
      <c r="AG52" s="114"/>
    </row>
    <row r="53" spans="1:33" x14ac:dyDescent="0.25">
      <c r="A53" s="57"/>
      <c r="B53" s="57"/>
      <c r="C53" s="57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69"/>
      <c r="U53" s="57">
        <v>8</v>
      </c>
      <c r="V53" s="57"/>
      <c r="W53" s="155"/>
      <c r="X53" s="69">
        <f>SUM(T53:W54)</f>
        <v>8</v>
      </c>
      <c r="Y53" s="115"/>
      <c r="Z53" s="115">
        <v>1</v>
      </c>
      <c r="AA53" s="57">
        <f>SUM(Y53:Z54)</f>
        <v>1</v>
      </c>
      <c r="AB53" s="57"/>
      <c r="AC53" s="57"/>
      <c r="AD53" s="57"/>
      <c r="AE53" s="57"/>
      <c r="AF53" s="57"/>
      <c r="AG53" s="113">
        <v>14.56</v>
      </c>
    </row>
    <row r="54" spans="1:33" x14ac:dyDescent="0.25">
      <c r="A54" s="58"/>
      <c r="B54" s="58"/>
      <c r="C54" s="58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70"/>
      <c r="U54" s="58"/>
      <c r="V54" s="58"/>
      <c r="W54" s="156"/>
      <c r="X54" s="70"/>
      <c r="Y54" s="116"/>
      <c r="Z54" s="116"/>
      <c r="AA54" s="58"/>
      <c r="AB54" s="58"/>
      <c r="AC54" s="58"/>
      <c r="AD54" s="58"/>
      <c r="AE54" s="58"/>
      <c r="AF54" s="58"/>
      <c r="AG54" s="114"/>
    </row>
    <row r="55" spans="1:33" x14ac:dyDescent="0.25">
      <c r="A55" s="243"/>
      <c r="B55" s="243"/>
      <c r="C55" s="24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69"/>
      <c r="U55" s="57">
        <v>8</v>
      </c>
      <c r="V55" s="57"/>
      <c r="W55" s="155"/>
      <c r="X55" s="69">
        <f>SUM(T55:W56)</f>
        <v>8</v>
      </c>
      <c r="Y55" s="115"/>
      <c r="Z55" s="115">
        <v>1</v>
      </c>
      <c r="AA55" s="57">
        <f>SUM(Y55:Z56)</f>
        <v>1</v>
      </c>
      <c r="AB55" s="57"/>
      <c r="AC55" s="57"/>
      <c r="AD55" s="57"/>
      <c r="AE55" s="57"/>
      <c r="AF55" s="57"/>
      <c r="AG55" s="113">
        <v>14.56</v>
      </c>
    </row>
    <row r="56" spans="1:33" x14ac:dyDescent="0.25">
      <c r="A56" s="243"/>
      <c r="B56" s="243"/>
      <c r="C56" s="24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70"/>
      <c r="U56" s="58"/>
      <c r="V56" s="58"/>
      <c r="W56" s="156"/>
      <c r="X56" s="70"/>
      <c r="Y56" s="116"/>
      <c r="Z56" s="116"/>
      <c r="AA56" s="58"/>
      <c r="AB56" s="58"/>
      <c r="AC56" s="58"/>
      <c r="AD56" s="58"/>
      <c r="AE56" s="58"/>
      <c r="AF56" s="58"/>
      <c r="AG56" s="114"/>
    </row>
    <row r="57" spans="1:33" x14ac:dyDescent="0.25">
      <c r="A57" s="243"/>
      <c r="B57" s="243"/>
      <c r="C57" s="24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69"/>
      <c r="U57" s="57"/>
      <c r="V57" s="57"/>
      <c r="W57" s="155"/>
      <c r="X57" s="69"/>
      <c r="Y57" s="115"/>
      <c r="Z57" s="115"/>
      <c r="AA57" s="57"/>
      <c r="AB57" s="57"/>
      <c r="AC57" s="57"/>
      <c r="AD57" s="57"/>
      <c r="AE57" s="57"/>
      <c r="AF57" s="57"/>
      <c r="AG57" s="113"/>
    </row>
    <row r="58" spans="1:33" x14ac:dyDescent="0.25">
      <c r="A58" s="243"/>
      <c r="B58" s="243"/>
      <c r="C58" s="24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70"/>
      <c r="U58" s="58"/>
      <c r="V58" s="58"/>
      <c r="W58" s="156"/>
      <c r="X58" s="70"/>
      <c r="Y58" s="116"/>
      <c r="Z58" s="116"/>
      <c r="AA58" s="58"/>
      <c r="AB58" s="58"/>
      <c r="AC58" s="58"/>
      <c r="AD58" s="58"/>
      <c r="AE58" s="58"/>
      <c r="AF58" s="58"/>
      <c r="AG58" s="114"/>
    </row>
    <row r="59" spans="1:33" x14ac:dyDescent="0.25">
      <c r="A59" s="57"/>
      <c r="B59" s="235"/>
      <c r="C59" s="23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69"/>
      <c r="U59" s="57"/>
      <c r="V59" s="57"/>
      <c r="W59" s="57"/>
      <c r="X59" s="69"/>
      <c r="Y59" s="115"/>
      <c r="Z59" s="115"/>
      <c r="AA59" s="57"/>
      <c r="AB59" s="57"/>
      <c r="AC59" s="57"/>
      <c r="AD59" s="57"/>
      <c r="AE59" s="57"/>
      <c r="AF59" s="57"/>
      <c r="AG59" s="113"/>
    </row>
    <row r="60" spans="1:33" x14ac:dyDescent="0.25">
      <c r="A60" s="58"/>
      <c r="B60" s="236"/>
      <c r="C60" s="234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70"/>
      <c r="U60" s="58"/>
      <c r="V60" s="58"/>
      <c r="W60" s="58"/>
      <c r="X60" s="70"/>
      <c r="Y60" s="116"/>
      <c r="Z60" s="116"/>
      <c r="AA60" s="58"/>
      <c r="AB60" s="58"/>
      <c r="AC60" s="58"/>
      <c r="AD60" s="58"/>
      <c r="AE60" s="58"/>
      <c r="AF60" s="58"/>
      <c r="AG60" s="114"/>
    </row>
    <row r="61" spans="1:33" ht="12.75" customHeight="1" x14ac:dyDescent="0.25">
      <c r="Q61" s="151" t="s">
        <v>28</v>
      </c>
      <c r="R61" s="151"/>
      <c r="S61" s="152"/>
      <c r="T61" s="16"/>
      <c r="U61" s="5">
        <v>112</v>
      </c>
      <c r="V61" s="5"/>
      <c r="W61" s="5"/>
      <c r="X61" s="5">
        <f>SUM(X37:X60)</f>
        <v>112</v>
      </c>
      <c r="Y61" s="17"/>
      <c r="Z61" s="17">
        <f>SUM(Z37:Z60)</f>
        <v>14</v>
      </c>
      <c r="AA61" s="5">
        <f>SUM(AA37:AA60)</f>
        <v>14</v>
      </c>
      <c r="AB61" s="5"/>
      <c r="AC61" s="5"/>
      <c r="AD61" s="5"/>
      <c r="AE61" s="5"/>
      <c r="AF61" s="5"/>
      <c r="AG61" s="23">
        <f>SUM(AG37:AG60)</f>
        <v>213.44000000000003</v>
      </c>
    </row>
    <row r="62" spans="1:33" ht="12.75" customHeight="1" x14ac:dyDescent="0.25">
      <c r="Q62" s="18"/>
      <c r="R62" s="18"/>
      <c r="S62" s="18"/>
      <c r="T62" s="19"/>
      <c r="U62" s="19"/>
      <c r="V62" s="19"/>
      <c r="W62" s="19"/>
      <c r="X62" s="19"/>
      <c r="Y62" s="20"/>
      <c r="Z62" s="19"/>
      <c r="AA62" s="19"/>
      <c r="AB62" s="19"/>
      <c r="AC62" s="19"/>
      <c r="AD62" s="19"/>
      <c r="AE62" s="19"/>
      <c r="AF62" s="19"/>
      <c r="AG62" s="19"/>
    </row>
    <row r="63" spans="1:33" x14ac:dyDescent="0.25">
      <c r="B63" s="47" t="s">
        <v>29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T63" s="46" t="s">
        <v>130</v>
      </c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</row>
    <row r="64" spans="1:33" ht="24" customHeight="1" x14ac:dyDescent="0.25">
      <c r="B64" s="204" t="s">
        <v>30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T64" s="204" t="s">
        <v>68</v>
      </c>
      <c r="U64" s="204"/>
      <c r="V64" s="204"/>
      <c r="W64" s="204"/>
      <c r="X64" s="204"/>
      <c r="Y64" s="241"/>
      <c r="Z64" s="241"/>
      <c r="AA64" s="241"/>
      <c r="AB64" s="241"/>
      <c r="AC64" s="241"/>
      <c r="AD64" s="241"/>
      <c r="AE64" s="241"/>
      <c r="AF64" s="241"/>
      <c r="AG64" s="241"/>
    </row>
    <row r="65" spans="1:33" x14ac:dyDescent="0.25">
      <c r="B65" s="46" t="s">
        <v>31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 spans="1:33" x14ac:dyDescent="0.25">
      <c r="B66" s="46" t="str">
        <f>ИТОГО!B79</f>
        <v>Экономист Яцевич Н. Г.  ______________________________</v>
      </c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T66" s="46" t="s">
        <v>32</v>
      </c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spans="1:33" x14ac:dyDescent="0.25">
      <c r="T67" s="47" t="s">
        <v>33</v>
      </c>
      <c r="U67" s="47"/>
      <c r="V67" s="47"/>
      <c r="W67" s="47"/>
      <c r="X67" s="47"/>
      <c r="Y67" s="47"/>
      <c r="Z67" s="42" t="str">
        <f>ИТОГО!Z80</f>
        <v>Нач ДРСУ 161 _______________ Залога Г.Ч.</v>
      </c>
      <c r="AA67" s="42"/>
      <c r="AB67" s="42"/>
      <c r="AC67" s="42"/>
      <c r="AD67" s="42"/>
      <c r="AE67" s="42"/>
      <c r="AF67" s="42"/>
      <c r="AG67" s="42"/>
    </row>
    <row r="68" spans="1:33" x14ac:dyDescent="0.25">
      <c r="C68" s="59" t="s">
        <v>83</v>
      </c>
      <c r="D68" s="59"/>
      <c r="E68" s="59"/>
      <c r="F68" s="59"/>
      <c r="G68" s="59"/>
      <c r="H68" s="59"/>
      <c r="I68" s="59"/>
      <c r="J68" s="59"/>
      <c r="K68" s="59"/>
      <c r="L68" s="56">
        <f>Q4</f>
        <v>2024</v>
      </c>
      <c r="M68" s="56"/>
      <c r="N68" s="4" t="s">
        <v>76</v>
      </c>
      <c r="Z68" s="42" t="s">
        <v>131</v>
      </c>
      <c r="AA68" s="42"/>
      <c r="AB68" s="42"/>
      <c r="AC68" s="42"/>
      <c r="AD68" s="42"/>
      <c r="AE68" s="42"/>
      <c r="AF68" s="42"/>
      <c r="AG68" s="42"/>
    </row>
    <row r="69" spans="1:33" x14ac:dyDescent="0.25">
      <c r="X69" s="46" t="s">
        <v>84</v>
      </c>
      <c r="Y69" s="46"/>
      <c r="Z69" s="46"/>
      <c r="AA69" s="46"/>
      <c r="AB69" s="46"/>
      <c r="AC69" s="46"/>
      <c r="AD69" s="46"/>
      <c r="AE69" s="9">
        <f>Q4</f>
        <v>2024</v>
      </c>
      <c r="AF69" s="9" t="s">
        <v>76</v>
      </c>
    </row>
    <row r="70" spans="1:33" ht="160.5" customHeight="1" x14ac:dyDescent="0.25"/>
    <row r="71" spans="1:33" x14ac:dyDescent="0.25">
      <c r="I71" s="56" t="s">
        <v>57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</row>
    <row r="73" spans="1:33" ht="13" x14ac:dyDescent="0.3">
      <c r="D73" s="56" t="s">
        <v>58</v>
      </c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33" ht="13" x14ac:dyDescent="0.3">
      <c r="I74" s="206" t="s">
        <v>71</v>
      </c>
      <c r="J74" s="206"/>
      <c r="K74" s="206"/>
      <c r="L74" s="126" t="str">
        <f>I4</f>
        <v>Июль</v>
      </c>
      <c r="M74" s="126"/>
      <c r="N74" s="126"/>
      <c r="O74" s="126"/>
      <c r="P74" s="126"/>
      <c r="Q74" s="126"/>
      <c r="R74" s="126"/>
      <c r="S74" s="149">
        <f>Q4</f>
        <v>2024</v>
      </c>
      <c r="T74" s="149"/>
      <c r="U74" s="149"/>
      <c r="V74" s="4" t="s">
        <v>76</v>
      </c>
    </row>
    <row r="75" spans="1:33" x14ac:dyDescent="0.25">
      <c r="L75" s="2"/>
    </row>
    <row r="76" spans="1:33" x14ac:dyDescent="0.25">
      <c r="A76" s="59" t="str">
        <f>A5</f>
        <v>Объект:Бол.Можейкова - Ищелно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</row>
    <row r="77" spans="1:33" ht="13" x14ac:dyDescent="0.3">
      <c r="K77" s="61" t="s">
        <v>90</v>
      </c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1:33" ht="12.75" customHeight="1" x14ac:dyDescent="0.25">
      <c r="A78" s="110" t="s">
        <v>59</v>
      </c>
      <c r="B78" s="92" t="s">
        <v>26</v>
      </c>
      <c r="C78" s="93"/>
      <c r="D78" s="93"/>
      <c r="E78" s="93"/>
      <c r="F78" s="93"/>
      <c r="G78" s="93"/>
      <c r="H78" s="94"/>
      <c r="I78" s="92" t="s">
        <v>60</v>
      </c>
      <c r="J78" s="93"/>
      <c r="K78" s="94"/>
      <c r="L78" s="101" t="s">
        <v>61</v>
      </c>
      <c r="M78" s="102"/>
      <c r="N78" s="102"/>
      <c r="O78" s="103"/>
      <c r="P78" s="101" t="s">
        <v>62</v>
      </c>
      <c r="Q78" s="102"/>
      <c r="R78" s="102"/>
      <c r="S78" s="103"/>
      <c r="T78" s="101" t="s">
        <v>63</v>
      </c>
      <c r="U78" s="102"/>
      <c r="V78" s="103"/>
      <c r="W78" s="101" t="s">
        <v>64</v>
      </c>
      <c r="X78" s="102"/>
      <c r="Y78" s="102"/>
      <c r="Z78" s="103"/>
      <c r="AA78" s="92" t="s">
        <v>87</v>
      </c>
      <c r="AB78" s="93"/>
      <c r="AC78" s="93"/>
      <c r="AD78" s="94"/>
      <c r="AE78" s="101" t="s">
        <v>65</v>
      </c>
      <c r="AF78" s="102"/>
      <c r="AG78" s="103"/>
    </row>
    <row r="79" spans="1:33" x14ac:dyDescent="0.25">
      <c r="A79" s="111"/>
      <c r="B79" s="95"/>
      <c r="C79" s="96"/>
      <c r="D79" s="96"/>
      <c r="E79" s="96"/>
      <c r="F79" s="96"/>
      <c r="G79" s="96"/>
      <c r="H79" s="97"/>
      <c r="I79" s="95"/>
      <c r="J79" s="96"/>
      <c r="K79" s="97"/>
      <c r="L79" s="104"/>
      <c r="M79" s="105"/>
      <c r="N79" s="105"/>
      <c r="O79" s="106"/>
      <c r="P79" s="104"/>
      <c r="Q79" s="105"/>
      <c r="R79" s="105"/>
      <c r="S79" s="106"/>
      <c r="T79" s="104"/>
      <c r="U79" s="105"/>
      <c r="V79" s="106"/>
      <c r="W79" s="104"/>
      <c r="X79" s="105"/>
      <c r="Y79" s="105"/>
      <c r="Z79" s="106"/>
      <c r="AA79" s="95"/>
      <c r="AB79" s="96"/>
      <c r="AC79" s="96"/>
      <c r="AD79" s="97"/>
      <c r="AE79" s="104"/>
      <c r="AF79" s="105"/>
      <c r="AG79" s="106"/>
    </row>
    <row r="80" spans="1:33" x14ac:dyDescent="0.25">
      <c r="A80" s="112"/>
      <c r="B80" s="98"/>
      <c r="C80" s="99"/>
      <c r="D80" s="99"/>
      <c r="E80" s="99"/>
      <c r="F80" s="99"/>
      <c r="G80" s="99"/>
      <c r="H80" s="100"/>
      <c r="I80" s="98"/>
      <c r="J80" s="99"/>
      <c r="K80" s="100"/>
      <c r="L80" s="107"/>
      <c r="M80" s="108"/>
      <c r="N80" s="108"/>
      <c r="O80" s="109"/>
      <c r="P80" s="107"/>
      <c r="Q80" s="108"/>
      <c r="R80" s="108"/>
      <c r="S80" s="109"/>
      <c r="T80" s="107"/>
      <c r="U80" s="108"/>
      <c r="V80" s="109"/>
      <c r="W80" s="107"/>
      <c r="X80" s="108"/>
      <c r="Y80" s="108"/>
      <c r="Z80" s="109"/>
      <c r="AA80" s="98"/>
      <c r="AB80" s="99"/>
      <c r="AC80" s="99"/>
      <c r="AD80" s="100"/>
      <c r="AE80" s="107"/>
      <c r="AF80" s="108"/>
      <c r="AG80" s="109"/>
    </row>
    <row r="81" spans="1:33" ht="21.75" customHeight="1" x14ac:dyDescent="0.25">
      <c r="A81" s="5">
        <v>1</v>
      </c>
      <c r="B81" s="73" t="s">
        <v>122</v>
      </c>
      <c r="C81" s="74"/>
      <c r="D81" s="74"/>
      <c r="E81" s="74"/>
      <c r="F81" s="74"/>
      <c r="G81" s="74"/>
      <c r="H81" s="75"/>
      <c r="I81" s="89">
        <v>4</v>
      </c>
      <c r="J81" s="90"/>
      <c r="K81" s="91"/>
      <c r="L81" s="89">
        <v>3.18</v>
      </c>
      <c r="M81" s="90"/>
      <c r="N81" s="90"/>
      <c r="O81" s="91"/>
      <c r="P81" s="43">
        <f>Y37</f>
        <v>0</v>
      </c>
      <c r="Q81" s="44"/>
      <c r="R81" s="44"/>
      <c r="S81" s="45"/>
      <c r="T81" s="43">
        <f>T37</f>
        <v>0</v>
      </c>
      <c r="U81" s="44"/>
      <c r="V81" s="45"/>
      <c r="W81" s="76">
        <f t="shared" ref="W81:W90" si="4">L81*T81</f>
        <v>0</v>
      </c>
      <c r="X81" s="77"/>
      <c r="Y81" s="77"/>
      <c r="Z81" s="78"/>
      <c r="AA81" s="43">
        <f>IF(W93=0,0,AE94/W93)</f>
        <v>0</v>
      </c>
      <c r="AB81" s="44"/>
      <c r="AC81" s="44"/>
      <c r="AD81" s="45"/>
      <c r="AE81" s="230">
        <f t="shared" ref="AE81:AE90" si="5">ROUND(W81*AA81,2)</f>
        <v>0</v>
      </c>
      <c r="AF81" s="231"/>
      <c r="AG81" s="232"/>
    </row>
    <row r="82" spans="1:33" ht="22.5" customHeight="1" x14ac:dyDescent="0.25">
      <c r="A82" s="5">
        <v>2</v>
      </c>
      <c r="B82" s="73" t="s">
        <v>120</v>
      </c>
      <c r="C82" s="74"/>
      <c r="D82" s="74"/>
      <c r="E82" s="74"/>
      <c r="F82" s="74"/>
      <c r="G82" s="74"/>
      <c r="H82" s="75"/>
      <c r="I82" s="89">
        <f>C39</f>
        <v>3</v>
      </c>
      <c r="J82" s="90"/>
      <c r="K82" s="91"/>
      <c r="L82" s="89">
        <v>2.73</v>
      </c>
      <c r="M82" s="90"/>
      <c r="N82" s="90"/>
      <c r="O82" s="91"/>
      <c r="P82" s="43">
        <f>Y39</f>
        <v>0</v>
      </c>
      <c r="Q82" s="44"/>
      <c r="R82" s="44"/>
      <c r="S82" s="45"/>
      <c r="T82" s="43">
        <f>T39</f>
        <v>0</v>
      </c>
      <c r="U82" s="44"/>
      <c r="V82" s="45"/>
      <c r="W82" s="76">
        <f t="shared" si="4"/>
        <v>0</v>
      </c>
      <c r="X82" s="77"/>
      <c r="Y82" s="77"/>
      <c r="Z82" s="78"/>
      <c r="AA82" s="43">
        <f>IF(W93=0,0,AE94/W93)</f>
        <v>0</v>
      </c>
      <c r="AB82" s="44"/>
      <c r="AC82" s="44"/>
      <c r="AD82" s="45"/>
      <c r="AE82" s="230">
        <f t="shared" si="5"/>
        <v>0</v>
      </c>
      <c r="AF82" s="231"/>
      <c r="AG82" s="232"/>
    </row>
    <row r="83" spans="1:33" ht="22.5" customHeight="1" x14ac:dyDescent="0.25">
      <c r="A83" s="5">
        <v>3</v>
      </c>
      <c r="B83" s="73" t="s">
        <v>121</v>
      </c>
      <c r="C83" s="74"/>
      <c r="D83" s="74"/>
      <c r="E83" s="74"/>
      <c r="F83" s="74"/>
      <c r="G83" s="74"/>
      <c r="H83" s="75"/>
      <c r="I83" s="89">
        <v>3</v>
      </c>
      <c r="J83" s="90"/>
      <c r="K83" s="91"/>
      <c r="L83" s="89">
        <v>2.73</v>
      </c>
      <c r="M83" s="90"/>
      <c r="N83" s="90"/>
      <c r="O83" s="91"/>
      <c r="P83" s="43">
        <f>AA39</f>
        <v>2</v>
      </c>
      <c r="Q83" s="44"/>
      <c r="R83" s="44"/>
      <c r="S83" s="45"/>
      <c r="T83" s="43">
        <f>T41</f>
        <v>0</v>
      </c>
      <c r="U83" s="44"/>
      <c r="V83" s="45"/>
      <c r="W83" s="76">
        <f t="shared" si="4"/>
        <v>0</v>
      </c>
      <c r="X83" s="77"/>
      <c r="Y83" s="77"/>
      <c r="Z83" s="78"/>
      <c r="AA83" s="43">
        <f>IF(W93=0,0,AE94/W93)</f>
        <v>0</v>
      </c>
      <c r="AB83" s="44"/>
      <c r="AC83" s="44"/>
      <c r="AD83" s="45"/>
      <c r="AE83" s="230">
        <f t="shared" si="5"/>
        <v>0</v>
      </c>
      <c r="AF83" s="231"/>
      <c r="AG83" s="232"/>
    </row>
    <row r="84" spans="1:33" ht="22.5" customHeight="1" x14ac:dyDescent="0.25">
      <c r="A84" s="5">
        <v>4</v>
      </c>
      <c r="B84" s="73" t="s">
        <v>123</v>
      </c>
      <c r="C84" s="74"/>
      <c r="D84" s="74"/>
      <c r="E84" s="74"/>
      <c r="F84" s="74"/>
      <c r="G84" s="74"/>
      <c r="H84" s="75"/>
      <c r="I84" s="89">
        <f>C41</f>
        <v>4</v>
      </c>
      <c r="J84" s="90"/>
      <c r="K84" s="91"/>
      <c r="L84" s="89">
        <v>2.73</v>
      </c>
      <c r="M84" s="90"/>
      <c r="N84" s="90"/>
      <c r="O84" s="91"/>
      <c r="P84" s="43">
        <f>Y41</f>
        <v>0</v>
      </c>
      <c r="Q84" s="44"/>
      <c r="R84" s="44"/>
      <c r="S84" s="45"/>
      <c r="T84" s="43">
        <f>T41</f>
        <v>0</v>
      </c>
      <c r="U84" s="44"/>
      <c r="V84" s="45"/>
      <c r="W84" s="76">
        <f t="shared" si="4"/>
        <v>0</v>
      </c>
      <c r="X84" s="77"/>
      <c r="Y84" s="77"/>
      <c r="Z84" s="78"/>
      <c r="AA84" s="43">
        <f>IF(W93=0,0,AE94/W93)</f>
        <v>0</v>
      </c>
      <c r="AB84" s="44"/>
      <c r="AC84" s="44"/>
      <c r="AD84" s="45"/>
      <c r="AE84" s="230">
        <f t="shared" si="5"/>
        <v>0</v>
      </c>
      <c r="AF84" s="231"/>
      <c r="AG84" s="232"/>
    </row>
    <row r="85" spans="1:33" ht="22.5" customHeight="1" x14ac:dyDescent="0.25">
      <c r="A85" s="5">
        <v>5</v>
      </c>
      <c r="B85" s="73" t="s">
        <v>124</v>
      </c>
      <c r="C85" s="74"/>
      <c r="D85" s="74"/>
      <c r="E85" s="74"/>
      <c r="F85" s="74"/>
      <c r="G85" s="74"/>
      <c r="H85" s="75"/>
      <c r="I85" s="89">
        <v>3</v>
      </c>
      <c r="J85" s="90"/>
      <c r="K85" s="91"/>
      <c r="L85" s="89">
        <v>2.73</v>
      </c>
      <c r="M85" s="90"/>
      <c r="N85" s="90"/>
      <c r="O85" s="91"/>
      <c r="P85" s="43">
        <f>AA45</f>
        <v>1</v>
      </c>
      <c r="Q85" s="44"/>
      <c r="R85" s="44"/>
      <c r="S85" s="45"/>
      <c r="T85" s="43">
        <f>T45</f>
        <v>0</v>
      </c>
      <c r="U85" s="44"/>
      <c r="V85" s="45"/>
      <c r="W85" s="76">
        <f t="shared" si="4"/>
        <v>0</v>
      </c>
      <c r="X85" s="77"/>
      <c r="Y85" s="77"/>
      <c r="Z85" s="78"/>
      <c r="AA85" s="43">
        <f>IF(W93=0,0,AE94/W93)</f>
        <v>0</v>
      </c>
      <c r="AB85" s="44"/>
      <c r="AC85" s="44"/>
      <c r="AD85" s="45"/>
      <c r="AE85" s="230">
        <f t="shared" si="5"/>
        <v>0</v>
      </c>
      <c r="AF85" s="231"/>
      <c r="AG85" s="232"/>
    </row>
    <row r="86" spans="1:33" ht="22.5" customHeight="1" x14ac:dyDescent="0.25">
      <c r="A86" s="5">
        <v>6</v>
      </c>
      <c r="B86" s="73" t="s">
        <v>127</v>
      </c>
      <c r="C86" s="74"/>
      <c r="D86" s="74"/>
      <c r="E86" s="74"/>
      <c r="F86" s="74"/>
      <c r="G86" s="74"/>
      <c r="H86" s="75"/>
      <c r="I86" s="89">
        <v>3</v>
      </c>
      <c r="J86" s="90"/>
      <c r="K86" s="91"/>
      <c r="L86" s="89">
        <v>1.82</v>
      </c>
      <c r="M86" s="90"/>
      <c r="N86" s="90"/>
      <c r="O86" s="91"/>
      <c r="P86" s="43">
        <f>Y43</f>
        <v>0</v>
      </c>
      <c r="Q86" s="44"/>
      <c r="R86" s="44"/>
      <c r="S86" s="45"/>
      <c r="T86" s="43">
        <f>T43</f>
        <v>0</v>
      </c>
      <c r="U86" s="44"/>
      <c r="V86" s="45"/>
      <c r="W86" s="76">
        <f t="shared" si="4"/>
        <v>0</v>
      </c>
      <c r="X86" s="77"/>
      <c r="Y86" s="77"/>
      <c r="Z86" s="78"/>
      <c r="AA86" s="43">
        <f>IF(W93=0,0,AE94/W93)</f>
        <v>0</v>
      </c>
      <c r="AB86" s="44"/>
      <c r="AC86" s="44"/>
      <c r="AD86" s="45"/>
      <c r="AE86" s="230">
        <f t="shared" si="5"/>
        <v>0</v>
      </c>
      <c r="AF86" s="231"/>
      <c r="AG86" s="232"/>
    </row>
    <row r="87" spans="1:33" ht="22.5" customHeight="1" x14ac:dyDescent="0.25">
      <c r="A87" s="5">
        <v>8</v>
      </c>
      <c r="B87" s="35" t="s">
        <v>129</v>
      </c>
      <c r="C87" s="36"/>
      <c r="D87" s="36"/>
      <c r="E87" s="36"/>
      <c r="F87" s="36"/>
      <c r="G87" s="36"/>
      <c r="H87" s="37"/>
      <c r="I87" s="89">
        <v>3</v>
      </c>
      <c r="J87" s="90"/>
      <c r="K87" s="91"/>
      <c r="L87" s="89">
        <v>2.73</v>
      </c>
      <c r="M87" s="90"/>
      <c r="N87" s="90"/>
      <c r="O87" s="91"/>
      <c r="P87" s="43">
        <f>AA49</f>
        <v>1</v>
      </c>
      <c r="Q87" s="44"/>
      <c r="R87" s="44"/>
      <c r="S87" s="45"/>
      <c r="T87" s="43">
        <f>T49</f>
        <v>0</v>
      </c>
      <c r="U87" s="44"/>
      <c r="V87" s="45"/>
      <c r="W87" s="76">
        <f t="shared" si="4"/>
        <v>0</v>
      </c>
      <c r="X87" s="77"/>
      <c r="Y87" s="77"/>
      <c r="Z87" s="78"/>
      <c r="AA87" s="43">
        <f>IF(W93=0,0,AE94/W93)</f>
        <v>0</v>
      </c>
      <c r="AB87" s="44"/>
      <c r="AC87" s="44"/>
      <c r="AD87" s="45"/>
      <c r="AE87" s="230">
        <f t="shared" si="5"/>
        <v>0</v>
      </c>
      <c r="AF87" s="231"/>
      <c r="AG87" s="232"/>
    </row>
    <row r="88" spans="1:33" ht="22.5" customHeight="1" x14ac:dyDescent="0.25">
      <c r="A88" s="5">
        <v>9</v>
      </c>
      <c r="B88" s="35" t="s">
        <v>128</v>
      </c>
      <c r="C88" s="36"/>
      <c r="D88" s="36"/>
      <c r="E88" s="36"/>
      <c r="F88" s="36"/>
      <c r="G88" s="36"/>
      <c r="H88" s="37"/>
      <c r="I88" s="89">
        <v>3</v>
      </c>
      <c r="J88" s="90"/>
      <c r="K88" s="91"/>
      <c r="L88" s="89">
        <v>2.73</v>
      </c>
      <c r="M88" s="90"/>
      <c r="N88" s="90"/>
      <c r="O88" s="91"/>
      <c r="P88" s="43">
        <f>Y45</f>
        <v>0</v>
      </c>
      <c r="Q88" s="44"/>
      <c r="R88" s="44"/>
      <c r="S88" s="45"/>
      <c r="T88" s="43">
        <f>T45</f>
        <v>0</v>
      </c>
      <c r="U88" s="44"/>
      <c r="V88" s="45"/>
      <c r="W88" s="76">
        <f t="shared" si="4"/>
        <v>0</v>
      </c>
      <c r="X88" s="77"/>
      <c r="Y88" s="77"/>
      <c r="Z88" s="78"/>
      <c r="AA88" s="43">
        <f>IF(W93=0,0,AE94/W93)</f>
        <v>0</v>
      </c>
      <c r="AB88" s="44"/>
      <c r="AC88" s="44"/>
      <c r="AD88" s="45"/>
      <c r="AE88" s="230">
        <f t="shared" si="5"/>
        <v>0</v>
      </c>
      <c r="AF88" s="231"/>
      <c r="AG88" s="232"/>
    </row>
    <row r="89" spans="1:33" ht="22.5" customHeight="1" x14ac:dyDescent="0.25">
      <c r="A89" s="5">
        <v>10</v>
      </c>
      <c r="B89" s="35" t="s">
        <v>125</v>
      </c>
      <c r="C89" s="36"/>
      <c r="D89" s="36"/>
      <c r="E89" s="36"/>
      <c r="F89" s="36"/>
      <c r="G89" s="36"/>
      <c r="H89" s="37"/>
      <c r="I89" s="89">
        <v>3</v>
      </c>
      <c r="J89" s="90"/>
      <c r="K89" s="91"/>
      <c r="L89" s="89">
        <v>2.73</v>
      </c>
      <c r="M89" s="90"/>
      <c r="N89" s="90"/>
      <c r="O89" s="91"/>
      <c r="P89" s="43">
        <f>AA53</f>
        <v>1</v>
      </c>
      <c r="Q89" s="44"/>
      <c r="R89" s="44"/>
      <c r="S89" s="45"/>
      <c r="T89" s="43">
        <f>T55</f>
        <v>0</v>
      </c>
      <c r="U89" s="44"/>
      <c r="V89" s="45"/>
      <c r="W89" s="76">
        <f t="shared" si="4"/>
        <v>0</v>
      </c>
      <c r="X89" s="77"/>
      <c r="Y89" s="77"/>
      <c r="Z89" s="78"/>
      <c r="AA89" s="43">
        <f>IF(W93=0,0,AE94/W93)</f>
        <v>0</v>
      </c>
      <c r="AB89" s="44"/>
      <c r="AC89" s="44"/>
      <c r="AD89" s="45"/>
      <c r="AE89" s="230">
        <f t="shared" si="5"/>
        <v>0</v>
      </c>
      <c r="AF89" s="231"/>
      <c r="AG89" s="232"/>
    </row>
    <row r="90" spans="1:33" ht="22.5" customHeight="1" x14ac:dyDescent="0.25">
      <c r="A90" s="5">
        <v>11</v>
      </c>
      <c r="B90" s="73" t="s">
        <v>126</v>
      </c>
      <c r="C90" s="74"/>
      <c r="D90" s="74"/>
      <c r="E90" s="74"/>
      <c r="F90" s="74"/>
      <c r="G90" s="74"/>
      <c r="H90" s="75"/>
      <c r="I90" s="89">
        <v>3</v>
      </c>
      <c r="J90" s="90"/>
      <c r="K90" s="91"/>
      <c r="L90" s="89">
        <v>2.73</v>
      </c>
      <c r="M90" s="90"/>
      <c r="N90" s="90"/>
      <c r="O90" s="91"/>
      <c r="P90" s="43">
        <f>Y47</f>
        <v>0</v>
      </c>
      <c r="Q90" s="44"/>
      <c r="R90" s="44"/>
      <c r="S90" s="45"/>
      <c r="T90" s="43">
        <f>T47</f>
        <v>0</v>
      </c>
      <c r="U90" s="44"/>
      <c r="V90" s="45"/>
      <c r="W90" s="76">
        <f t="shared" si="4"/>
        <v>0</v>
      </c>
      <c r="X90" s="77"/>
      <c r="Y90" s="77"/>
      <c r="Z90" s="78"/>
      <c r="AA90" s="43">
        <f>IF(W93=0,0,AE94/W93)</f>
        <v>0</v>
      </c>
      <c r="AB90" s="44"/>
      <c r="AC90" s="44"/>
      <c r="AD90" s="45"/>
      <c r="AE90" s="230">
        <f t="shared" si="5"/>
        <v>0</v>
      </c>
      <c r="AF90" s="231"/>
      <c r="AG90" s="232"/>
    </row>
    <row r="91" spans="1:33" ht="22.5" customHeight="1" x14ac:dyDescent="0.25">
      <c r="A91" s="5"/>
      <c r="B91" s="73"/>
      <c r="C91" s="74"/>
      <c r="D91" s="74"/>
      <c r="E91" s="74"/>
      <c r="F91" s="74"/>
      <c r="G91" s="74"/>
      <c r="H91" s="75"/>
      <c r="I91" s="89"/>
      <c r="J91" s="90"/>
      <c r="K91" s="91"/>
      <c r="L91" s="89"/>
      <c r="M91" s="90"/>
      <c r="N91" s="90"/>
      <c r="O91" s="91"/>
      <c r="P91" s="43"/>
      <c r="Q91" s="44"/>
      <c r="R91" s="44"/>
      <c r="S91" s="45"/>
      <c r="T91" s="43"/>
      <c r="U91" s="44"/>
      <c r="V91" s="45"/>
      <c r="W91" s="76"/>
      <c r="X91" s="77"/>
      <c r="Y91" s="77"/>
      <c r="Z91" s="78"/>
      <c r="AA91" s="43"/>
      <c r="AB91" s="44"/>
      <c r="AC91" s="44"/>
      <c r="AD91" s="45"/>
      <c r="AE91" s="230"/>
      <c r="AF91" s="231"/>
      <c r="AG91" s="232"/>
    </row>
    <row r="92" spans="1:33" ht="22.5" customHeight="1" x14ac:dyDescent="0.25">
      <c r="A92" s="5"/>
      <c r="B92" s="73"/>
      <c r="C92" s="74"/>
      <c r="D92" s="74"/>
      <c r="E92" s="74"/>
      <c r="F92" s="74"/>
      <c r="G92" s="74"/>
      <c r="H92" s="75"/>
      <c r="I92" s="89"/>
      <c r="J92" s="90"/>
      <c r="K92" s="91"/>
      <c r="L92" s="89"/>
      <c r="M92" s="90"/>
      <c r="N92" s="90"/>
      <c r="O92" s="91"/>
      <c r="P92" s="43"/>
      <c r="Q92" s="44"/>
      <c r="R92" s="44"/>
      <c r="S92" s="45"/>
      <c r="T92" s="43"/>
      <c r="U92" s="44"/>
      <c r="V92" s="45"/>
      <c r="W92" s="76"/>
      <c r="X92" s="77"/>
      <c r="Y92" s="77"/>
      <c r="Z92" s="78"/>
      <c r="AA92" s="43"/>
      <c r="AB92" s="44"/>
      <c r="AC92" s="44"/>
      <c r="AD92" s="45"/>
      <c r="AE92" s="230"/>
      <c r="AF92" s="231"/>
      <c r="AG92" s="232"/>
    </row>
    <row r="93" spans="1:33" ht="22.5" customHeight="1" x14ac:dyDescent="0.25">
      <c r="W93" s="76">
        <f>SUM(W81:Z92)</f>
        <v>0</v>
      </c>
      <c r="X93" s="77"/>
      <c r="Y93" s="77"/>
      <c r="Z93" s="78"/>
      <c r="AE93" s="76">
        <f>SUM(AE81:AG92)</f>
        <v>0</v>
      </c>
      <c r="AF93" s="77"/>
      <c r="AG93" s="78"/>
    </row>
    <row r="94" spans="1:33" x14ac:dyDescent="0.25">
      <c r="AB94" s="56" t="s">
        <v>66</v>
      </c>
      <c r="AC94" s="56"/>
      <c r="AD94" s="88"/>
      <c r="AE94" s="82">
        <f>AE23</f>
        <v>91.552729999999997</v>
      </c>
      <c r="AF94" s="83"/>
      <c r="AG94" s="84"/>
    </row>
    <row r="95" spans="1:33" x14ac:dyDescent="0.25">
      <c r="AB95" s="56"/>
      <c r="AC95" s="56"/>
      <c r="AD95" s="88"/>
      <c r="AE95" s="85"/>
      <c r="AF95" s="86"/>
      <c r="AG95" s="87"/>
    </row>
  </sheetData>
  <mergeCells count="507">
    <mergeCell ref="AA19:AB19"/>
    <mergeCell ref="T18:U18"/>
    <mergeCell ref="V18:W18"/>
    <mergeCell ref="X18:Z18"/>
    <mergeCell ref="AA18:AB18"/>
    <mergeCell ref="G19:H19"/>
    <mergeCell ref="I19:L19"/>
    <mergeCell ref="P19:S19"/>
    <mergeCell ref="AE17:AF17"/>
    <mergeCell ref="AE19:AF19"/>
    <mergeCell ref="AC18:AD18"/>
    <mergeCell ref="AE18:AF18"/>
    <mergeCell ref="M19:O19"/>
    <mergeCell ref="M18:O18"/>
    <mergeCell ref="P18:S18"/>
    <mergeCell ref="X17:Z17"/>
    <mergeCell ref="X19:Z19"/>
    <mergeCell ref="AA17:AB17"/>
    <mergeCell ref="V17:W17"/>
    <mergeCell ref="V19:W19"/>
    <mergeCell ref="T19:U19"/>
    <mergeCell ref="B18:F18"/>
    <mergeCell ref="G18:H18"/>
    <mergeCell ref="I18:L18"/>
    <mergeCell ref="I17:L17"/>
    <mergeCell ref="P17:S17"/>
    <mergeCell ref="M17:O17"/>
    <mergeCell ref="G16:H16"/>
    <mergeCell ref="I15:L15"/>
    <mergeCell ref="I16:L16"/>
    <mergeCell ref="M15:O15"/>
    <mergeCell ref="B17:F17"/>
    <mergeCell ref="B19:F19"/>
    <mergeCell ref="G17:H17"/>
    <mergeCell ref="AE15:AF15"/>
    <mergeCell ref="AC16:AD16"/>
    <mergeCell ref="AE16:AF16"/>
    <mergeCell ref="T15:U15"/>
    <mergeCell ref="T16:U16"/>
    <mergeCell ref="V15:W15"/>
    <mergeCell ref="V16:W16"/>
    <mergeCell ref="X15:Z15"/>
    <mergeCell ref="X16:Z16"/>
    <mergeCell ref="AA15:AB15"/>
    <mergeCell ref="B21:F21"/>
    <mergeCell ref="G21:H21"/>
    <mergeCell ref="I21:L21"/>
    <mergeCell ref="M21:O21"/>
    <mergeCell ref="P21:S21"/>
    <mergeCell ref="T21:U21"/>
    <mergeCell ref="B65:Q65"/>
    <mergeCell ref="B64:Q64"/>
    <mergeCell ref="S74:U74"/>
    <mergeCell ref="I74:K74"/>
    <mergeCell ref="L74:R74"/>
    <mergeCell ref="Z67:AG67"/>
    <mergeCell ref="Z68:AG68"/>
    <mergeCell ref="T67:Y67"/>
    <mergeCell ref="AF37:AF38"/>
    <mergeCell ref="W37:W38"/>
    <mergeCell ref="AA37:AA38"/>
    <mergeCell ref="T66:AD66"/>
    <mergeCell ref="T64:X64"/>
    <mergeCell ref="Y64:AG64"/>
    <mergeCell ref="AD37:AD38"/>
    <mergeCell ref="Y39:Y40"/>
    <mergeCell ref="AG39:AG40"/>
    <mergeCell ref="U39:U40"/>
    <mergeCell ref="AB35:AE35"/>
    <mergeCell ref="P22:S22"/>
    <mergeCell ref="AG35:AG36"/>
    <mergeCell ref="B29:AE29"/>
    <mergeCell ref="Y35:Y36"/>
    <mergeCell ref="AB34:AG34"/>
    <mergeCell ref="AF35:AF36"/>
    <mergeCell ref="T27:AB27"/>
    <mergeCell ref="K27:L27"/>
    <mergeCell ref="T34:X34"/>
    <mergeCell ref="J5:W5"/>
    <mergeCell ref="Q7:U7"/>
    <mergeCell ref="Q8:U8"/>
    <mergeCell ref="V8:Z8"/>
    <mergeCell ref="X14:Z14"/>
    <mergeCell ref="T14:U14"/>
    <mergeCell ref="V14:W14"/>
    <mergeCell ref="X11:Z13"/>
    <mergeCell ref="V12:W13"/>
    <mergeCell ref="P14:S14"/>
    <mergeCell ref="G10:H13"/>
    <mergeCell ref="T11:W11"/>
    <mergeCell ref="I10:W10"/>
    <mergeCell ref="P12:S13"/>
    <mergeCell ref="B10:F13"/>
    <mergeCell ref="I11:L13"/>
    <mergeCell ref="T12:U13"/>
    <mergeCell ref="B20:F20"/>
    <mergeCell ref="B22:F22"/>
    <mergeCell ref="G22:H22"/>
    <mergeCell ref="M20:O20"/>
    <mergeCell ref="A10:A13"/>
    <mergeCell ref="M11:S11"/>
    <mergeCell ref="B14:F14"/>
    <mergeCell ref="B15:F15"/>
    <mergeCell ref="B16:F16"/>
    <mergeCell ref="G15:H15"/>
    <mergeCell ref="A34:A36"/>
    <mergeCell ref="C34:C36"/>
    <mergeCell ref="D34:S34"/>
    <mergeCell ref="B34:B36"/>
    <mergeCell ref="K25:L25"/>
    <mergeCell ref="G27:J27"/>
    <mergeCell ref="B31:H31"/>
    <mergeCell ref="D26:AC26"/>
    <mergeCell ref="B27:F27"/>
    <mergeCell ref="Y34:AA34"/>
    <mergeCell ref="P20:S20"/>
    <mergeCell ref="I20:L20"/>
    <mergeCell ref="M16:O16"/>
    <mergeCell ref="P15:S15"/>
    <mergeCell ref="P16:S16"/>
    <mergeCell ref="T23:U23"/>
    <mergeCell ref="T22:U22"/>
    <mergeCell ref="T17:U17"/>
    <mergeCell ref="V22:W22"/>
    <mergeCell ref="I22:L22"/>
    <mergeCell ref="M22:O22"/>
    <mergeCell ref="X35:X36"/>
    <mergeCell ref="W39:W40"/>
    <mergeCell ref="U37:U38"/>
    <mergeCell ref="T25:AB25"/>
    <mergeCell ref="V37:V38"/>
    <mergeCell ref="Z37:Z38"/>
    <mergeCell ref="T35:V35"/>
    <mergeCell ref="W35:W36"/>
    <mergeCell ref="X39:X40"/>
    <mergeCell ref="Z35:Z36"/>
    <mergeCell ref="AA35:AA36"/>
    <mergeCell ref="C39:C40"/>
    <mergeCell ref="T39:T40"/>
    <mergeCell ref="A37:A38"/>
    <mergeCell ref="AC39:AC40"/>
    <mergeCell ref="C37:C38"/>
    <mergeCell ref="T37:T38"/>
    <mergeCell ref="AB37:AB38"/>
    <mergeCell ref="X37:X38"/>
    <mergeCell ref="Y37:Y38"/>
    <mergeCell ref="B37:B38"/>
    <mergeCell ref="A39:A40"/>
    <mergeCell ref="B39:B40"/>
    <mergeCell ref="AG37:AG38"/>
    <mergeCell ref="Z39:Z40"/>
    <mergeCell ref="AA39:AA40"/>
    <mergeCell ref="AB39:AB40"/>
    <mergeCell ref="AC37:AC38"/>
    <mergeCell ref="V39:V40"/>
    <mergeCell ref="AF39:AF40"/>
    <mergeCell ref="AD39:AD40"/>
    <mergeCell ref="AE39:AE40"/>
    <mergeCell ref="AE37:AE38"/>
    <mergeCell ref="AF41:AF42"/>
    <mergeCell ref="AA41:AA42"/>
    <mergeCell ref="AB41:AB42"/>
    <mergeCell ref="AE41:AE42"/>
    <mergeCell ref="AD41:AD42"/>
    <mergeCell ref="AC41:AC42"/>
    <mergeCell ref="A41:A42"/>
    <mergeCell ref="B41:B42"/>
    <mergeCell ref="C41:C42"/>
    <mergeCell ref="T41:T42"/>
    <mergeCell ref="W41:W42"/>
    <mergeCell ref="U41:U42"/>
    <mergeCell ref="V41:V42"/>
    <mergeCell ref="AG41:AG42"/>
    <mergeCell ref="Z41:Z42"/>
    <mergeCell ref="A59:A60"/>
    <mergeCell ref="AG59:AG60"/>
    <mergeCell ref="X41:X42"/>
    <mergeCell ref="Y59:Y60"/>
    <mergeCell ref="A51:A52"/>
    <mergeCell ref="B51:B52"/>
    <mergeCell ref="A45:A46"/>
    <mergeCell ref="A57:A58"/>
    <mergeCell ref="B63:Q63"/>
    <mergeCell ref="T63:AG63"/>
    <mergeCell ref="Q61:S61"/>
    <mergeCell ref="U59:U60"/>
    <mergeCell ref="T59:T60"/>
    <mergeCell ref="V59:V60"/>
    <mergeCell ref="AB59:AB60"/>
    <mergeCell ref="AC59:AC60"/>
    <mergeCell ref="B59:B60"/>
    <mergeCell ref="X59:X60"/>
    <mergeCell ref="B1:E1"/>
    <mergeCell ref="G3:T3"/>
    <mergeCell ref="AA22:AB22"/>
    <mergeCell ref="F4:H4"/>
    <mergeCell ref="W59:W60"/>
    <mergeCell ref="C59:C60"/>
    <mergeCell ref="I4:P4"/>
    <mergeCell ref="Y41:Y42"/>
    <mergeCell ref="Z59:Z60"/>
    <mergeCell ref="V7:Z7"/>
    <mergeCell ref="AE3:AF3"/>
    <mergeCell ref="AA3:AD3"/>
    <mergeCell ref="A3:C3"/>
    <mergeCell ref="A2:F2"/>
    <mergeCell ref="AD59:AD60"/>
    <mergeCell ref="AE59:AE60"/>
    <mergeCell ref="AF59:AF60"/>
    <mergeCell ref="AA11:AB13"/>
    <mergeCell ref="AE4:AF4"/>
    <mergeCell ref="AA59:AA60"/>
    <mergeCell ref="V20:W20"/>
    <mergeCell ref="X20:Z20"/>
    <mergeCell ref="AA20:AB20"/>
    <mergeCell ref="AC20:AD20"/>
    <mergeCell ref="AA14:AB14"/>
    <mergeCell ref="AC14:AD14"/>
    <mergeCell ref="AC15:AD15"/>
    <mergeCell ref="AA16:AB16"/>
    <mergeCell ref="AC17:AD17"/>
    <mergeCell ref="AC19:AD19"/>
    <mergeCell ref="AG10:AG13"/>
    <mergeCell ref="AA5:AD5"/>
    <mergeCell ref="AE5:AF5"/>
    <mergeCell ref="AE7:AG7"/>
    <mergeCell ref="AA7:AD7"/>
    <mergeCell ref="AA8:AD8"/>
    <mergeCell ref="AE8:AG8"/>
    <mergeCell ref="X10:AF10"/>
    <mergeCell ref="AC11:AD13"/>
    <mergeCell ref="AE11:AF13"/>
    <mergeCell ref="AE22:AF22"/>
    <mergeCell ref="AE14:AF14"/>
    <mergeCell ref="AC22:AD22"/>
    <mergeCell ref="T20:U20"/>
    <mergeCell ref="V21:W21"/>
    <mergeCell ref="X21:Z21"/>
    <mergeCell ref="AA21:AB21"/>
    <mergeCell ref="AC21:AD21"/>
    <mergeCell ref="AE21:AF21"/>
    <mergeCell ref="AE20:AF20"/>
    <mergeCell ref="AE23:AF23"/>
    <mergeCell ref="W91:Z91"/>
    <mergeCell ref="P82:S82"/>
    <mergeCell ref="AA91:AD91"/>
    <mergeCell ref="AE78:AG80"/>
    <mergeCell ref="A76:AG76"/>
    <mergeCell ref="A78:A80"/>
    <mergeCell ref="B78:H80"/>
    <mergeCell ref="I78:K80"/>
    <mergeCell ref="L78:O80"/>
    <mergeCell ref="P78:S80"/>
    <mergeCell ref="T78:V80"/>
    <mergeCell ref="W78:Z80"/>
    <mergeCell ref="K77:U77"/>
    <mergeCell ref="AA78:AD80"/>
    <mergeCell ref="T81:V81"/>
    <mergeCell ref="P91:S91"/>
    <mergeCell ref="T82:V82"/>
    <mergeCell ref="L81:O81"/>
    <mergeCell ref="L82:O82"/>
    <mergeCell ref="I82:K82"/>
    <mergeCell ref="P81:S81"/>
    <mergeCell ref="I91:K91"/>
    <mergeCell ref="L91:O91"/>
    <mergeCell ref="T90:V90"/>
    <mergeCell ref="L88:O88"/>
    <mergeCell ref="AE81:AG81"/>
    <mergeCell ref="B82:H82"/>
    <mergeCell ref="B91:H91"/>
    <mergeCell ref="AE82:AG82"/>
    <mergeCell ref="B81:H81"/>
    <mergeCell ref="I81:K81"/>
    <mergeCell ref="AE91:AG91"/>
    <mergeCell ref="T91:V91"/>
    <mergeCell ref="W81:Z81"/>
    <mergeCell ref="AA82:AD82"/>
    <mergeCell ref="B92:H92"/>
    <mergeCell ref="I92:K92"/>
    <mergeCell ref="L92:O92"/>
    <mergeCell ref="W92:Z92"/>
    <mergeCell ref="P92:S92"/>
    <mergeCell ref="AE94:AG95"/>
    <mergeCell ref="AB94:AD95"/>
    <mergeCell ref="T92:V92"/>
    <mergeCell ref="W93:Z93"/>
    <mergeCell ref="AE93:AG93"/>
    <mergeCell ref="AA92:AD92"/>
    <mergeCell ref="AE92:AG92"/>
    <mergeCell ref="X22:Z22"/>
    <mergeCell ref="X69:AD69"/>
    <mergeCell ref="AA81:AD81"/>
    <mergeCell ref="W82:Z82"/>
    <mergeCell ref="D73:Z73"/>
    <mergeCell ref="C68:K68"/>
    <mergeCell ref="L68:M68"/>
    <mergeCell ref="I71:U71"/>
    <mergeCell ref="Q4:R4"/>
    <mergeCell ref="M12:O13"/>
    <mergeCell ref="P33:S33"/>
    <mergeCell ref="M14:O14"/>
    <mergeCell ref="A5:I5"/>
    <mergeCell ref="G25:J25"/>
    <mergeCell ref="A4:C4"/>
    <mergeCell ref="G14:H14"/>
    <mergeCell ref="I14:L14"/>
    <mergeCell ref="G20:H20"/>
    <mergeCell ref="AA4:AD4"/>
    <mergeCell ref="E9:P9"/>
    <mergeCell ref="AB23:AD23"/>
    <mergeCell ref="B25:F25"/>
    <mergeCell ref="B66:Q66"/>
    <mergeCell ref="D33:I33"/>
    <mergeCell ref="J33:O33"/>
    <mergeCell ref="A6:C6"/>
    <mergeCell ref="A43:A44"/>
    <mergeCell ref="B43:B44"/>
    <mergeCell ref="B90:H90"/>
    <mergeCell ref="I90:K90"/>
    <mergeCell ref="L90:O90"/>
    <mergeCell ref="P90:S90"/>
    <mergeCell ref="C43:C44"/>
    <mergeCell ref="B86:H86"/>
    <mergeCell ref="I86:K86"/>
    <mergeCell ref="L86:O86"/>
    <mergeCell ref="P86:S86"/>
    <mergeCell ref="B49:B50"/>
    <mergeCell ref="W90:Z90"/>
    <mergeCell ref="AA90:AD90"/>
    <mergeCell ref="AE90:AG90"/>
    <mergeCell ref="T53:T54"/>
    <mergeCell ref="U53:U54"/>
    <mergeCell ref="V53:V54"/>
    <mergeCell ref="W53:W54"/>
    <mergeCell ref="X53:X54"/>
    <mergeCell ref="Y53:Y54"/>
    <mergeCell ref="Z53:Z54"/>
    <mergeCell ref="B45:B46"/>
    <mergeCell ref="B57:B58"/>
    <mergeCell ref="C45:C46"/>
    <mergeCell ref="C57:C58"/>
    <mergeCell ref="A49:A50"/>
    <mergeCell ref="A53:A54"/>
    <mergeCell ref="B53:B54"/>
    <mergeCell ref="C53:C54"/>
    <mergeCell ref="C47:C48"/>
    <mergeCell ref="C49:C50"/>
    <mergeCell ref="T43:T44"/>
    <mergeCell ref="T45:T46"/>
    <mergeCell ref="T57:T58"/>
    <mergeCell ref="U43:U44"/>
    <mergeCell ref="U45:U46"/>
    <mergeCell ref="U57:U58"/>
    <mergeCell ref="T49:T50"/>
    <mergeCell ref="U49:U50"/>
    <mergeCell ref="T51:T52"/>
    <mergeCell ref="U51:U52"/>
    <mergeCell ref="V43:V44"/>
    <mergeCell ref="V45:V46"/>
    <mergeCell ref="V57:V58"/>
    <mergeCell ref="W43:W44"/>
    <mergeCell ref="W45:W46"/>
    <mergeCell ref="W57:W58"/>
    <mergeCell ref="V49:V50"/>
    <mergeCell ref="V51:V52"/>
    <mergeCell ref="W49:W50"/>
    <mergeCell ref="W51:W52"/>
    <mergeCell ref="X43:X44"/>
    <mergeCell ref="X45:X46"/>
    <mergeCell ref="X57:X58"/>
    <mergeCell ref="Y43:Y44"/>
    <mergeCell ref="Y45:Y46"/>
    <mergeCell ref="Y57:Y58"/>
    <mergeCell ref="X49:X50"/>
    <mergeCell ref="X51:X52"/>
    <mergeCell ref="Y49:Y50"/>
    <mergeCell ref="Y51:Y52"/>
    <mergeCell ref="Z43:Z44"/>
    <mergeCell ref="Z45:Z46"/>
    <mergeCell ref="Z57:Z58"/>
    <mergeCell ref="AA43:AA44"/>
    <mergeCell ref="AA45:AA46"/>
    <mergeCell ref="AA57:AA58"/>
    <mergeCell ref="Z49:Z50"/>
    <mergeCell ref="Z51:Z52"/>
    <mergeCell ref="AA49:AA50"/>
    <mergeCell ref="AA51:AA52"/>
    <mergeCell ref="AB57:AB58"/>
    <mergeCell ref="AC43:AC44"/>
    <mergeCell ref="AC45:AC46"/>
    <mergeCell ref="AC57:AC58"/>
    <mergeCell ref="AB49:AB50"/>
    <mergeCell ref="AB51:AB52"/>
    <mergeCell ref="AC49:AC50"/>
    <mergeCell ref="AC51:AC52"/>
    <mergeCell ref="AC53:AC54"/>
    <mergeCell ref="AD57:AD58"/>
    <mergeCell ref="AE43:AE44"/>
    <mergeCell ref="AE45:AE46"/>
    <mergeCell ref="AE57:AE58"/>
    <mergeCell ref="AD49:AD50"/>
    <mergeCell ref="AD51:AD52"/>
    <mergeCell ref="AE49:AE50"/>
    <mergeCell ref="AE51:AE52"/>
    <mergeCell ref="AD53:AD54"/>
    <mergeCell ref="AE53:AE54"/>
    <mergeCell ref="AF57:AF58"/>
    <mergeCell ref="AG43:AG44"/>
    <mergeCell ref="AG45:AG46"/>
    <mergeCell ref="AG57:AG58"/>
    <mergeCell ref="AF49:AF50"/>
    <mergeCell ref="AF51:AF52"/>
    <mergeCell ref="AG49:AG50"/>
    <mergeCell ref="AG51:AG52"/>
    <mergeCell ref="AF53:AF54"/>
    <mergeCell ref="X47:X48"/>
    <mergeCell ref="AG47:AG48"/>
    <mergeCell ref="AB47:AB48"/>
    <mergeCell ref="AC47:AC48"/>
    <mergeCell ref="AF43:AF44"/>
    <mergeCell ref="AF45:AF46"/>
    <mergeCell ref="AD43:AD44"/>
    <mergeCell ref="AD45:AD46"/>
    <mergeCell ref="AB43:AB44"/>
    <mergeCell ref="AB45:AB46"/>
    <mergeCell ref="C51:C52"/>
    <mergeCell ref="A47:A48"/>
    <mergeCell ref="B47:B48"/>
    <mergeCell ref="Y47:Y48"/>
    <mergeCell ref="Z47:Z48"/>
    <mergeCell ref="AA47:AA48"/>
    <mergeCell ref="T47:T48"/>
    <mergeCell ref="U47:U48"/>
    <mergeCell ref="V47:V48"/>
    <mergeCell ref="W47:W48"/>
    <mergeCell ref="AE47:AE48"/>
    <mergeCell ref="AF47:AF48"/>
    <mergeCell ref="AD47:AD48"/>
    <mergeCell ref="W55:W56"/>
    <mergeCell ref="X55:X56"/>
    <mergeCell ref="Y55:Y56"/>
    <mergeCell ref="AA53:AA54"/>
    <mergeCell ref="AB53:AB54"/>
    <mergeCell ref="AB55:AB56"/>
    <mergeCell ref="AC55:AC56"/>
    <mergeCell ref="AD55:AD56"/>
    <mergeCell ref="AE55:AE56"/>
    <mergeCell ref="AG53:AG54"/>
    <mergeCell ref="A55:A56"/>
    <mergeCell ref="B55:B56"/>
    <mergeCell ref="C55:C56"/>
    <mergeCell ref="T55:T56"/>
    <mergeCell ref="U55:U56"/>
    <mergeCell ref="V55:V56"/>
    <mergeCell ref="B83:H83"/>
    <mergeCell ref="I83:K83"/>
    <mergeCell ref="L83:O83"/>
    <mergeCell ref="P83:S83"/>
    <mergeCell ref="T83:V83"/>
    <mergeCell ref="W83:Z83"/>
    <mergeCell ref="L84:O84"/>
    <mergeCell ref="P84:S84"/>
    <mergeCell ref="T84:V84"/>
    <mergeCell ref="W84:Z84"/>
    <mergeCell ref="AF55:AF56"/>
    <mergeCell ref="AG55:AG56"/>
    <mergeCell ref="AA83:AD83"/>
    <mergeCell ref="AE83:AG83"/>
    <mergeCell ref="Z55:Z56"/>
    <mergeCell ref="AA55:AA56"/>
    <mergeCell ref="AA84:AD84"/>
    <mergeCell ref="AE84:AG84"/>
    <mergeCell ref="B85:H85"/>
    <mergeCell ref="I85:K85"/>
    <mergeCell ref="L85:O85"/>
    <mergeCell ref="P85:S85"/>
    <mergeCell ref="T85:V85"/>
    <mergeCell ref="W85:Z85"/>
    <mergeCell ref="B84:H84"/>
    <mergeCell ref="I84:K84"/>
    <mergeCell ref="T86:V86"/>
    <mergeCell ref="W86:Z86"/>
    <mergeCell ref="W88:Z88"/>
    <mergeCell ref="AA85:AD85"/>
    <mergeCell ref="AE85:AG85"/>
    <mergeCell ref="AA86:AD86"/>
    <mergeCell ref="AE86:AG86"/>
    <mergeCell ref="AA88:AD88"/>
    <mergeCell ref="AE88:AG88"/>
    <mergeCell ref="AE87:AG87"/>
    <mergeCell ref="I87:K87"/>
    <mergeCell ref="L87:O87"/>
    <mergeCell ref="P87:S87"/>
    <mergeCell ref="T87:V87"/>
    <mergeCell ref="W87:Z87"/>
    <mergeCell ref="AA87:AD87"/>
    <mergeCell ref="I88:K88"/>
    <mergeCell ref="AA89:AD89"/>
    <mergeCell ref="AE89:AG89"/>
    <mergeCell ref="I89:K89"/>
    <mergeCell ref="L89:O89"/>
    <mergeCell ref="P89:S89"/>
    <mergeCell ref="T89:V89"/>
    <mergeCell ref="W89:Z89"/>
    <mergeCell ref="P88:S88"/>
    <mergeCell ref="T88:V88"/>
  </mergeCells>
  <phoneticPr fontId="2" type="noConversion"/>
  <pageMargins left="0.39370078740157483" right="0.39370078740157483" top="0.39370078740157483" bottom="0.39370078740157483" header="0.39370078740157483" footer="0.31496062992125984"/>
  <pageSetup paperSize="9"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64"/>
  <sheetViews>
    <sheetView workbookViewId="0">
      <selection activeCell="AJ16" sqref="AJ16"/>
    </sheetView>
  </sheetViews>
  <sheetFormatPr defaultColWidth="9.1796875" defaultRowHeight="12.5" x14ac:dyDescent="0.25"/>
  <cols>
    <col min="1" max="1" width="7.81640625" style="1" customWidth="1"/>
    <col min="2" max="2" width="22.26953125" style="1" customWidth="1"/>
    <col min="3" max="3" width="4.453125" style="1" customWidth="1"/>
    <col min="4" max="4" width="2.7265625" style="1" customWidth="1"/>
    <col min="5" max="7" width="2.54296875" style="1" customWidth="1"/>
    <col min="8" max="14" width="2.7265625" style="1" customWidth="1"/>
    <col min="15" max="15" width="2.453125" style="1" customWidth="1"/>
    <col min="16" max="16" width="2.7265625" style="1" customWidth="1"/>
    <col min="17" max="17" width="2.54296875" style="1" customWidth="1"/>
    <col min="18" max="18" width="2.453125" style="1" customWidth="1"/>
    <col min="19" max="19" width="2.7265625" style="1" customWidth="1"/>
    <col min="20" max="26" width="3.7265625" style="1" customWidth="1"/>
    <col min="27" max="30" width="4.7265625" style="1" customWidth="1"/>
    <col min="31" max="31" width="4.81640625" style="1" customWidth="1"/>
    <col min="32" max="32" width="5.453125" style="1" customWidth="1"/>
    <col min="33" max="33" width="8.81640625" style="1" customWidth="1"/>
    <col min="34" max="16384" width="9.1796875" style="1"/>
  </cols>
  <sheetData>
    <row r="1" spans="1:33" x14ac:dyDescent="0.25">
      <c r="B1" s="47" t="s">
        <v>0</v>
      </c>
      <c r="C1" s="47"/>
      <c r="D1" s="47"/>
      <c r="E1" s="47"/>
    </row>
    <row r="2" spans="1:33" x14ac:dyDescent="0.25">
      <c r="A2" s="56" t="s">
        <v>73</v>
      </c>
      <c r="B2" s="56"/>
      <c r="C2" s="56"/>
      <c r="D2" s="56"/>
      <c r="E2" s="56"/>
      <c r="F2" s="56"/>
    </row>
    <row r="3" spans="1:33" x14ac:dyDescent="0.25">
      <c r="A3" s="56" t="s">
        <v>74</v>
      </c>
      <c r="B3" s="56"/>
      <c r="C3" s="56"/>
      <c r="G3" s="56" t="s">
        <v>34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AA3" s="43" t="s">
        <v>86</v>
      </c>
      <c r="AB3" s="44"/>
      <c r="AC3" s="44"/>
      <c r="AD3" s="45"/>
      <c r="AE3" s="43" t="s">
        <v>36</v>
      </c>
      <c r="AF3" s="45"/>
      <c r="AG3" s="3" t="s">
        <v>35</v>
      </c>
    </row>
    <row r="4" spans="1:33" ht="15.5" x14ac:dyDescent="0.45">
      <c r="A4" s="47"/>
      <c r="B4" s="47"/>
      <c r="C4" s="47"/>
      <c r="F4" s="149" t="s">
        <v>69</v>
      </c>
      <c r="G4" s="149"/>
      <c r="H4" s="149"/>
      <c r="I4" s="242" t="str">
        <f>ИТОГО!I4</f>
        <v>Июль</v>
      </c>
      <c r="J4" s="242"/>
      <c r="K4" s="242"/>
      <c r="L4" s="242"/>
      <c r="M4" s="242"/>
      <c r="N4" s="242"/>
      <c r="O4" s="242"/>
      <c r="P4" s="242"/>
      <c r="Q4" s="59">
        <f>ИТОГО!Q4</f>
        <v>2025</v>
      </c>
      <c r="R4" s="59"/>
      <c r="S4" s="4" t="s">
        <v>76</v>
      </c>
      <c r="T4" s="4"/>
      <c r="U4" s="4"/>
      <c r="V4" s="4"/>
      <c r="W4" s="4"/>
      <c r="AA4" s="43" t="s">
        <v>1</v>
      </c>
      <c r="AB4" s="44"/>
      <c r="AC4" s="44"/>
      <c r="AD4" s="45"/>
      <c r="AE4" s="239" t="s">
        <v>100</v>
      </c>
      <c r="AF4" s="240"/>
      <c r="AG4" s="32" t="s">
        <v>100</v>
      </c>
    </row>
    <row r="5" spans="1:33" ht="27" customHeight="1" x14ac:dyDescent="0.25">
      <c r="A5" s="238" t="s">
        <v>99</v>
      </c>
      <c r="B5" s="238"/>
      <c r="C5" s="238"/>
      <c r="D5" s="238"/>
      <c r="E5" s="238"/>
      <c r="F5" s="238"/>
      <c r="G5" s="238"/>
      <c r="H5" s="238"/>
      <c r="I5" s="238"/>
      <c r="J5" s="192" t="s">
        <v>2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AA5" s="43" t="s">
        <v>3</v>
      </c>
      <c r="AB5" s="44"/>
      <c r="AC5" s="44"/>
      <c r="AD5" s="45"/>
      <c r="AE5" s="239"/>
      <c r="AF5" s="240"/>
      <c r="AG5" s="32"/>
    </row>
    <row r="6" spans="1:33" ht="12.75" customHeight="1" x14ac:dyDescent="0.25">
      <c r="A6" s="237" t="s">
        <v>93</v>
      </c>
      <c r="B6" s="48"/>
      <c r="C6" s="48"/>
      <c r="E6" s="1" t="s">
        <v>117</v>
      </c>
      <c r="N6" s="6"/>
    </row>
    <row r="7" spans="1:33" x14ac:dyDescent="0.25">
      <c r="A7" s="1" t="s">
        <v>103</v>
      </c>
      <c r="B7" s="1" t="s">
        <v>115</v>
      </c>
      <c r="H7" s="7"/>
      <c r="I7" s="7"/>
      <c r="J7" s="7"/>
      <c r="K7" s="7"/>
      <c r="L7" s="7"/>
      <c r="M7" s="7"/>
      <c r="N7" s="7"/>
      <c r="O7" s="7"/>
      <c r="Q7" s="79" t="s">
        <v>8</v>
      </c>
      <c r="R7" s="80"/>
      <c r="S7" s="80"/>
      <c r="T7" s="80"/>
      <c r="U7" s="81"/>
      <c r="V7" s="79" t="s">
        <v>7</v>
      </c>
      <c r="W7" s="80"/>
      <c r="X7" s="80"/>
      <c r="Y7" s="80"/>
      <c r="Z7" s="81"/>
      <c r="AA7" s="79" t="s">
        <v>6</v>
      </c>
      <c r="AB7" s="80"/>
      <c r="AC7" s="80"/>
      <c r="AD7" s="81"/>
      <c r="AE7" s="79" t="s">
        <v>5</v>
      </c>
      <c r="AF7" s="80"/>
      <c r="AG7" s="81"/>
    </row>
    <row r="8" spans="1:33" x14ac:dyDescent="0.25">
      <c r="C8" s="1" t="s">
        <v>116</v>
      </c>
      <c r="H8" s="7"/>
      <c r="I8" s="7"/>
      <c r="J8" s="7"/>
      <c r="K8" s="7"/>
      <c r="L8" s="7"/>
      <c r="M8" s="7"/>
      <c r="N8" s="7"/>
      <c r="O8" s="7"/>
      <c r="Q8" s="43"/>
      <c r="R8" s="44"/>
      <c r="S8" s="44"/>
      <c r="T8" s="44"/>
      <c r="U8" s="45"/>
      <c r="V8" s="43"/>
      <c r="W8" s="44"/>
      <c r="X8" s="44"/>
      <c r="Y8" s="44"/>
      <c r="Z8" s="45"/>
      <c r="AA8" s="43"/>
      <c r="AB8" s="44"/>
      <c r="AC8" s="44"/>
      <c r="AD8" s="45"/>
      <c r="AE8" s="43"/>
      <c r="AF8" s="44"/>
      <c r="AG8" s="45"/>
    </row>
    <row r="9" spans="1:33" ht="13" x14ac:dyDescent="0.3">
      <c r="E9" s="61" t="s">
        <v>90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33" ht="12.75" customHeight="1" x14ac:dyDescent="0.25">
      <c r="A10" s="171" t="s">
        <v>50</v>
      </c>
      <c r="B10" s="183" t="s">
        <v>51</v>
      </c>
      <c r="C10" s="184"/>
      <c r="D10" s="184"/>
      <c r="E10" s="184"/>
      <c r="F10" s="185"/>
      <c r="G10" s="174" t="s">
        <v>49</v>
      </c>
      <c r="H10" s="175"/>
      <c r="I10" s="79" t="s">
        <v>38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43" t="s">
        <v>37</v>
      </c>
      <c r="Y10" s="44"/>
      <c r="Z10" s="44"/>
      <c r="AA10" s="44"/>
      <c r="AB10" s="44"/>
      <c r="AC10" s="44"/>
      <c r="AD10" s="44"/>
      <c r="AE10" s="44"/>
      <c r="AF10" s="45"/>
      <c r="AG10" s="129" t="s">
        <v>48</v>
      </c>
    </row>
    <row r="11" spans="1:33" ht="12.75" customHeight="1" x14ac:dyDescent="0.25">
      <c r="A11" s="172"/>
      <c r="B11" s="186"/>
      <c r="C11" s="187"/>
      <c r="D11" s="187"/>
      <c r="E11" s="187"/>
      <c r="F11" s="188"/>
      <c r="G11" s="176"/>
      <c r="H11" s="177"/>
      <c r="I11" s="132" t="s">
        <v>44</v>
      </c>
      <c r="J11" s="133"/>
      <c r="K11" s="133"/>
      <c r="L11" s="134"/>
      <c r="M11" s="79" t="s">
        <v>39</v>
      </c>
      <c r="N11" s="80"/>
      <c r="O11" s="80"/>
      <c r="P11" s="80"/>
      <c r="Q11" s="80"/>
      <c r="R11" s="80"/>
      <c r="S11" s="81"/>
      <c r="T11" s="79" t="s">
        <v>40</v>
      </c>
      <c r="U11" s="80"/>
      <c r="V11" s="80"/>
      <c r="W11" s="81"/>
      <c r="X11" s="132" t="s">
        <v>44</v>
      </c>
      <c r="Y11" s="133"/>
      <c r="Z11" s="134"/>
      <c r="AA11" s="50" t="s">
        <v>45</v>
      </c>
      <c r="AB11" s="52"/>
      <c r="AC11" s="141" t="s">
        <v>46</v>
      </c>
      <c r="AD11" s="142"/>
      <c r="AE11" s="132" t="s">
        <v>47</v>
      </c>
      <c r="AF11" s="134"/>
      <c r="AG11" s="130"/>
    </row>
    <row r="12" spans="1:33" ht="12.75" customHeight="1" x14ac:dyDescent="0.25">
      <c r="A12" s="172"/>
      <c r="B12" s="186"/>
      <c r="C12" s="187"/>
      <c r="D12" s="187"/>
      <c r="E12" s="187"/>
      <c r="F12" s="188"/>
      <c r="G12" s="176"/>
      <c r="H12" s="177"/>
      <c r="I12" s="135"/>
      <c r="J12" s="136"/>
      <c r="K12" s="136"/>
      <c r="L12" s="137"/>
      <c r="M12" s="50" t="s">
        <v>41</v>
      </c>
      <c r="N12" s="51"/>
      <c r="O12" s="52"/>
      <c r="P12" s="65" t="s">
        <v>42</v>
      </c>
      <c r="Q12" s="66"/>
      <c r="R12" s="66"/>
      <c r="S12" s="67"/>
      <c r="T12" s="50" t="s">
        <v>41</v>
      </c>
      <c r="U12" s="52"/>
      <c r="V12" s="50" t="s">
        <v>43</v>
      </c>
      <c r="W12" s="52"/>
      <c r="X12" s="135"/>
      <c r="Y12" s="136"/>
      <c r="Z12" s="137"/>
      <c r="AA12" s="147"/>
      <c r="AB12" s="148"/>
      <c r="AC12" s="143"/>
      <c r="AD12" s="144"/>
      <c r="AE12" s="135"/>
      <c r="AF12" s="137"/>
      <c r="AG12" s="130"/>
    </row>
    <row r="13" spans="1:33" x14ac:dyDescent="0.25">
      <c r="A13" s="173"/>
      <c r="B13" s="189"/>
      <c r="C13" s="190"/>
      <c r="D13" s="190"/>
      <c r="E13" s="190"/>
      <c r="F13" s="191"/>
      <c r="G13" s="178"/>
      <c r="H13" s="179"/>
      <c r="I13" s="138"/>
      <c r="J13" s="139"/>
      <c r="K13" s="139"/>
      <c r="L13" s="140"/>
      <c r="M13" s="53"/>
      <c r="N13" s="54"/>
      <c r="O13" s="55"/>
      <c r="P13" s="180"/>
      <c r="Q13" s="181"/>
      <c r="R13" s="181"/>
      <c r="S13" s="182"/>
      <c r="T13" s="53"/>
      <c r="U13" s="55"/>
      <c r="V13" s="53"/>
      <c r="W13" s="55"/>
      <c r="X13" s="138"/>
      <c r="Y13" s="139"/>
      <c r="Z13" s="140"/>
      <c r="AA13" s="53"/>
      <c r="AB13" s="55"/>
      <c r="AC13" s="145"/>
      <c r="AD13" s="146"/>
      <c r="AE13" s="138"/>
      <c r="AF13" s="140"/>
      <c r="AG13" s="131"/>
    </row>
    <row r="14" spans="1:33" ht="45" customHeight="1" x14ac:dyDescent="0.25">
      <c r="A14" s="28" t="s">
        <v>104</v>
      </c>
      <c r="B14" s="221" t="s">
        <v>108</v>
      </c>
      <c r="C14" s="222"/>
      <c r="D14" s="222"/>
      <c r="E14" s="222"/>
      <c r="F14" s="223"/>
      <c r="G14" s="284" t="s">
        <v>109</v>
      </c>
      <c r="H14" s="285"/>
      <c r="I14" s="224" t="e">
        <f>#REF!</f>
        <v>#REF!</v>
      </c>
      <c r="J14" s="226"/>
      <c r="K14" s="226"/>
      <c r="L14" s="225"/>
      <c r="M14" s="224">
        <v>1.08</v>
      </c>
      <c r="N14" s="226"/>
      <c r="O14" s="225"/>
      <c r="P14" s="227">
        <v>2.0299999999999998</v>
      </c>
      <c r="Q14" s="228"/>
      <c r="R14" s="228"/>
      <c r="S14" s="229"/>
      <c r="T14" s="65" t="e">
        <f t="shared" ref="T14:T21" si="0">I14*M14</f>
        <v>#REF!</v>
      </c>
      <c r="U14" s="67"/>
      <c r="V14" s="127" t="e">
        <f t="shared" ref="V14:V21" si="1">I14*P14</f>
        <v>#REF!</v>
      </c>
      <c r="W14" s="128"/>
      <c r="X14" s="65" t="e">
        <f t="shared" ref="X14:X21" si="2">I14</f>
        <v>#REF!</v>
      </c>
      <c r="Y14" s="66"/>
      <c r="Z14" s="67"/>
      <c r="AA14" s="65" t="e">
        <f t="shared" ref="AA14:AA21" si="3">T14</f>
        <v>#REF!</v>
      </c>
      <c r="AB14" s="67"/>
      <c r="AC14" s="65">
        <f t="shared" ref="AC14:AC21" si="4">M14</f>
        <v>1.08</v>
      </c>
      <c r="AD14" s="67"/>
      <c r="AE14" s="127" t="e">
        <f t="shared" ref="AE14:AE21" si="5">ROUND(V14,2)</f>
        <v>#REF!</v>
      </c>
      <c r="AF14" s="128"/>
      <c r="AG14" s="25"/>
    </row>
    <row r="15" spans="1:33" ht="46.5" customHeight="1" x14ac:dyDescent="0.25">
      <c r="A15" s="28" t="s">
        <v>105</v>
      </c>
      <c r="B15" s="219" t="s">
        <v>110</v>
      </c>
      <c r="C15" s="219"/>
      <c r="D15" s="219"/>
      <c r="E15" s="219"/>
      <c r="F15" s="219"/>
      <c r="G15" s="284" t="s">
        <v>109</v>
      </c>
      <c r="H15" s="285"/>
      <c r="I15" s="220" t="e">
        <f>#REF!</f>
        <v>#REF!</v>
      </c>
      <c r="J15" s="220"/>
      <c r="K15" s="220"/>
      <c r="L15" s="220"/>
      <c r="M15" s="220">
        <v>1.25</v>
      </c>
      <c r="N15" s="220"/>
      <c r="O15" s="220"/>
      <c r="P15" s="220">
        <v>2.35</v>
      </c>
      <c r="Q15" s="220"/>
      <c r="R15" s="220"/>
      <c r="S15" s="220"/>
      <c r="T15" s="127" t="e">
        <f t="shared" si="0"/>
        <v>#REF!</v>
      </c>
      <c r="U15" s="128"/>
      <c r="V15" s="127" t="e">
        <f t="shared" si="1"/>
        <v>#REF!</v>
      </c>
      <c r="W15" s="128"/>
      <c r="X15" s="65" t="e">
        <f t="shared" si="2"/>
        <v>#REF!</v>
      </c>
      <c r="Y15" s="66"/>
      <c r="Z15" s="67"/>
      <c r="AA15" s="127" t="e">
        <f t="shared" si="3"/>
        <v>#REF!</v>
      </c>
      <c r="AB15" s="128"/>
      <c r="AC15" s="65">
        <f t="shared" si="4"/>
        <v>1.25</v>
      </c>
      <c r="AD15" s="67"/>
      <c r="AE15" s="127" t="e">
        <f t="shared" si="5"/>
        <v>#REF!</v>
      </c>
      <c r="AF15" s="128"/>
      <c r="AG15" s="24"/>
    </row>
    <row r="16" spans="1:33" ht="42.75" customHeight="1" x14ac:dyDescent="0.25">
      <c r="A16" s="27" t="s">
        <v>106</v>
      </c>
      <c r="B16" s="213" t="s">
        <v>111</v>
      </c>
      <c r="C16" s="214"/>
      <c r="D16" s="214"/>
      <c r="E16" s="214"/>
      <c r="F16" s="215"/>
      <c r="G16" s="284" t="s">
        <v>109</v>
      </c>
      <c r="H16" s="285"/>
      <c r="I16" s="216" t="e">
        <f>#REF!</f>
        <v>#REF!</v>
      </c>
      <c r="J16" s="218"/>
      <c r="K16" s="218"/>
      <c r="L16" s="217"/>
      <c r="M16" s="216">
        <v>1.48</v>
      </c>
      <c r="N16" s="218"/>
      <c r="O16" s="217"/>
      <c r="P16" s="216">
        <v>2.78</v>
      </c>
      <c r="Q16" s="218"/>
      <c r="R16" s="218"/>
      <c r="S16" s="217"/>
      <c r="T16" s="127" t="e">
        <f t="shared" si="0"/>
        <v>#REF!</v>
      </c>
      <c r="U16" s="128"/>
      <c r="V16" s="127" t="e">
        <f t="shared" si="1"/>
        <v>#REF!</v>
      </c>
      <c r="W16" s="128"/>
      <c r="X16" s="65" t="e">
        <f t="shared" si="2"/>
        <v>#REF!</v>
      </c>
      <c r="Y16" s="66"/>
      <c r="Z16" s="67"/>
      <c r="AA16" s="127" t="e">
        <f t="shared" si="3"/>
        <v>#REF!</v>
      </c>
      <c r="AB16" s="128"/>
      <c r="AC16" s="65">
        <f t="shared" si="4"/>
        <v>1.48</v>
      </c>
      <c r="AD16" s="67"/>
      <c r="AE16" s="127" t="e">
        <f t="shared" si="5"/>
        <v>#REF!</v>
      </c>
      <c r="AF16" s="128"/>
      <c r="AG16" s="24"/>
    </row>
    <row r="17" spans="1:33" ht="45.75" customHeight="1" x14ac:dyDescent="0.25">
      <c r="A17" s="27" t="s">
        <v>107</v>
      </c>
      <c r="B17" s="213" t="s">
        <v>112</v>
      </c>
      <c r="C17" s="214"/>
      <c r="D17" s="214"/>
      <c r="E17" s="214"/>
      <c r="F17" s="215"/>
      <c r="G17" s="284" t="s">
        <v>109</v>
      </c>
      <c r="H17" s="285"/>
      <c r="I17" s="216" t="e">
        <f>#REF!</f>
        <v>#REF!</v>
      </c>
      <c r="J17" s="218"/>
      <c r="K17" s="218"/>
      <c r="L17" s="217"/>
      <c r="M17" s="216">
        <v>1.01</v>
      </c>
      <c r="N17" s="218"/>
      <c r="O17" s="217"/>
      <c r="P17" s="216">
        <v>1.9</v>
      </c>
      <c r="Q17" s="218"/>
      <c r="R17" s="218"/>
      <c r="S17" s="217"/>
      <c r="T17" s="127" t="e">
        <f t="shared" si="0"/>
        <v>#REF!</v>
      </c>
      <c r="U17" s="128"/>
      <c r="V17" s="127" t="e">
        <f t="shared" si="1"/>
        <v>#REF!</v>
      </c>
      <c r="W17" s="128"/>
      <c r="X17" s="65" t="e">
        <f t="shared" si="2"/>
        <v>#REF!</v>
      </c>
      <c r="Y17" s="66"/>
      <c r="Z17" s="67"/>
      <c r="AA17" s="127" t="e">
        <f t="shared" si="3"/>
        <v>#REF!</v>
      </c>
      <c r="AB17" s="128"/>
      <c r="AC17" s="65">
        <f t="shared" si="4"/>
        <v>1.01</v>
      </c>
      <c r="AD17" s="67"/>
      <c r="AE17" s="127" t="e">
        <f t="shared" si="5"/>
        <v>#REF!</v>
      </c>
      <c r="AF17" s="128"/>
      <c r="AG17" s="24"/>
    </row>
    <row r="18" spans="1:33" ht="69" customHeight="1" x14ac:dyDescent="0.25">
      <c r="A18" s="27" t="s">
        <v>113</v>
      </c>
      <c r="B18" s="213" t="s">
        <v>114</v>
      </c>
      <c r="C18" s="214"/>
      <c r="D18" s="214"/>
      <c r="E18" s="214"/>
      <c r="F18" s="215"/>
      <c r="G18" s="299" t="s">
        <v>102</v>
      </c>
      <c r="H18" s="300"/>
      <c r="I18" s="216" t="e">
        <f>#REF!</f>
        <v>#REF!</v>
      </c>
      <c r="J18" s="218"/>
      <c r="K18" s="218"/>
      <c r="L18" s="217"/>
      <c r="M18" s="216">
        <v>3.6999999999999998E-2</v>
      </c>
      <c r="N18" s="218"/>
      <c r="O18" s="217"/>
      <c r="P18" s="216">
        <v>7.0000000000000007E-2</v>
      </c>
      <c r="Q18" s="218"/>
      <c r="R18" s="218"/>
      <c r="S18" s="217"/>
      <c r="T18" s="127" t="e">
        <f t="shared" si="0"/>
        <v>#REF!</v>
      </c>
      <c r="U18" s="128"/>
      <c r="V18" s="127" t="e">
        <f t="shared" si="1"/>
        <v>#REF!</v>
      </c>
      <c r="W18" s="128"/>
      <c r="X18" s="65" t="e">
        <f t="shared" si="2"/>
        <v>#REF!</v>
      </c>
      <c r="Y18" s="66"/>
      <c r="Z18" s="67"/>
      <c r="AA18" s="127" t="e">
        <f t="shared" si="3"/>
        <v>#REF!</v>
      </c>
      <c r="AB18" s="128"/>
      <c r="AC18" s="65">
        <f t="shared" si="4"/>
        <v>3.6999999999999998E-2</v>
      </c>
      <c r="AD18" s="67"/>
      <c r="AE18" s="127" t="e">
        <f t="shared" si="5"/>
        <v>#REF!</v>
      </c>
      <c r="AF18" s="128"/>
      <c r="AG18" s="24"/>
    </row>
    <row r="19" spans="1:33" ht="12.75" customHeight="1" x14ac:dyDescent="0.25">
      <c r="A19" s="27"/>
      <c r="B19" s="296"/>
      <c r="C19" s="297"/>
      <c r="D19" s="297"/>
      <c r="E19" s="297"/>
      <c r="F19" s="298"/>
      <c r="G19" s="279"/>
      <c r="H19" s="280"/>
      <c r="I19" s="210"/>
      <c r="J19" s="212"/>
      <c r="K19" s="212"/>
      <c r="L19" s="211"/>
      <c r="M19" s="210"/>
      <c r="N19" s="212"/>
      <c r="O19" s="211"/>
      <c r="P19" s="210"/>
      <c r="Q19" s="212"/>
      <c r="R19" s="212"/>
      <c r="S19" s="211"/>
      <c r="T19" s="124">
        <f t="shared" si="0"/>
        <v>0</v>
      </c>
      <c r="U19" s="125"/>
      <c r="V19" s="124">
        <f t="shared" si="1"/>
        <v>0</v>
      </c>
      <c r="W19" s="125"/>
      <c r="X19" s="79">
        <f t="shared" si="2"/>
        <v>0</v>
      </c>
      <c r="Y19" s="80"/>
      <c r="Z19" s="81"/>
      <c r="AA19" s="124">
        <f t="shared" si="3"/>
        <v>0</v>
      </c>
      <c r="AB19" s="125"/>
      <c r="AC19" s="79">
        <f t="shared" si="4"/>
        <v>0</v>
      </c>
      <c r="AD19" s="81"/>
      <c r="AE19" s="124">
        <f t="shared" si="5"/>
        <v>0</v>
      </c>
      <c r="AF19" s="125"/>
      <c r="AG19" s="24"/>
    </row>
    <row r="20" spans="1:33" ht="12.75" customHeight="1" x14ac:dyDescent="0.25">
      <c r="A20" s="27"/>
      <c r="B20" s="296"/>
      <c r="C20" s="297"/>
      <c r="D20" s="297"/>
      <c r="E20" s="297"/>
      <c r="F20" s="298"/>
      <c r="G20" s="279"/>
      <c r="H20" s="280"/>
      <c r="I20" s="210"/>
      <c r="J20" s="212"/>
      <c r="K20" s="212"/>
      <c r="L20" s="211"/>
      <c r="M20" s="210"/>
      <c r="N20" s="212"/>
      <c r="O20" s="211"/>
      <c r="P20" s="210"/>
      <c r="Q20" s="212"/>
      <c r="R20" s="212"/>
      <c r="S20" s="211"/>
      <c r="T20" s="124">
        <f t="shared" si="0"/>
        <v>0</v>
      </c>
      <c r="U20" s="125"/>
      <c r="V20" s="124">
        <f t="shared" si="1"/>
        <v>0</v>
      </c>
      <c r="W20" s="125"/>
      <c r="X20" s="79">
        <f t="shared" si="2"/>
        <v>0</v>
      </c>
      <c r="Y20" s="80"/>
      <c r="Z20" s="81"/>
      <c r="AA20" s="124">
        <f t="shared" si="3"/>
        <v>0</v>
      </c>
      <c r="AB20" s="125"/>
      <c r="AC20" s="79">
        <f t="shared" si="4"/>
        <v>0</v>
      </c>
      <c r="AD20" s="81"/>
      <c r="AE20" s="124">
        <f t="shared" si="5"/>
        <v>0</v>
      </c>
      <c r="AF20" s="125"/>
      <c r="AG20" s="24"/>
    </row>
    <row r="21" spans="1:33" x14ac:dyDescent="0.25">
      <c r="A21" s="29"/>
      <c r="B21" s="207"/>
      <c r="C21" s="208"/>
      <c r="D21" s="208"/>
      <c r="E21" s="208"/>
      <c r="F21" s="209"/>
      <c r="G21" s="279"/>
      <c r="H21" s="280"/>
      <c r="I21" s="210"/>
      <c r="J21" s="212"/>
      <c r="K21" s="212"/>
      <c r="L21" s="211"/>
      <c r="M21" s="210"/>
      <c r="N21" s="212"/>
      <c r="O21" s="211"/>
      <c r="P21" s="210"/>
      <c r="Q21" s="212"/>
      <c r="R21" s="212"/>
      <c r="S21" s="211"/>
      <c r="T21" s="79">
        <f t="shared" si="0"/>
        <v>0</v>
      </c>
      <c r="U21" s="81"/>
      <c r="V21" s="124">
        <f t="shared" si="1"/>
        <v>0</v>
      </c>
      <c r="W21" s="125"/>
      <c r="X21" s="79">
        <f t="shared" si="2"/>
        <v>0</v>
      </c>
      <c r="Y21" s="80"/>
      <c r="Z21" s="81"/>
      <c r="AA21" s="79">
        <f t="shared" si="3"/>
        <v>0</v>
      </c>
      <c r="AB21" s="81"/>
      <c r="AC21" s="79">
        <f t="shared" si="4"/>
        <v>0</v>
      </c>
      <c r="AD21" s="81"/>
      <c r="AE21" s="124">
        <f t="shared" si="5"/>
        <v>0</v>
      </c>
      <c r="AF21" s="125"/>
      <c r="AG21" s="3"/>
    </row>
    <row r="22" spans="1:33" ht="13" x14ac:dyDescent="0.3">
      <c r="AB22" s="119" t="s">
        <v>52</v>
      </c>
      <c r="AC22" s="119"/>
      <c r="AD22" s="120"/>
      <c r="AE22" s="117" t="e">
        <f>SUM(AE14:AF21)</f>
        <v>#REF!</v>
      </c>
      <c r="AF22" s="118"/>
    </row>
    <row r="24" spans="1:33" x14ac:dyDescent="0.25">
      <c r="B24" s="46" t="s">
        <v>77</v>
      </c>
      <c r="C24" s="46"/>
      <c r="D24" s="46"/>
      <c r="E24" s="46"/>
      <c r="F24" s="46"/>
      <c r="G24" s="47" t="str">
        <f>I4</f>
        <v>Июль</v>
      </c>
      <c r="H24" s="47"/>
      <c r="I24" s="47"/>
      <c r="J24" s="47"/>
      <c r="K24" s="47">
        <f>Q4</f>
        <v>2025</v>
      </c>
      <c r="L24" s="47"/>
      <c r="M24" s="9" t="s">
        <v>76</v>
      </c>
      <c r="T24" s="46" t="s">
        <v>78</v>
      </c>
      <c r="U24" s="46"/>
      <c r="V24" s="46"/>
      <c r="W24" s="46"/>
      <c r="X24" s="46"/>
      <c r="Y24" s="46"/>
      <c r="Z24" s="46"/>
      <c r="AA24" s="46"/>
      <c r="AB24" s="46"/>
      <c r="AC24" s="33" t="str">
        <f>I4</f>
        <v>Июль</v>
      </c>
      <c r="AD24" s="9">
        <f>Q4</f>
        <v>2025</v>
      </c>
      <c r="AE24" s="9" t="s">
        <v>76</v>
      </c>
      <c r="AF24" s="9"/>
    </row>
    <row r="25" spans="1:33" x14ac:dyDescent="0.25">
      <c r="D25" s="46" t="s">
        <v>67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 spans="1:33" x14ac:dyDescent="0.25">
      <c r="B26" s="46" t="s">
        <v>82</v>
      </c>
      <c r="C26" s="46"/>
      <c r="D26" s="46"/>
      <c r="E26" s="46"/>
      <c r="F26" s="46"/>
      <c r="G26" s="47" t="str">
        <f>I4</f>
        <v>Июль</v>
      </c>
      <c r="H26" s="47"/>
      <c r="I26" s="47"/>
      <c r="J26" s="47"/>
      <c r="K26" s="47">
        <f>Q4</f>
        <v>2025</v>
      </c>
      <c r="L26" s="47"/>
      <c r="M26" s="9" t="s">
        <v>76</v>
      </c>
      <c r="T26" s="47" t="s">
        <v>80</v>
      </c>
      <c r="U26" s="47"/>
      <c r="V26" s="47"/>
      <c r="W26" s="47"/>
      <c r="X26" s="47"/>
      <c r="Y26" s="47"/>
      <c r="Z26" s="47"/>
      <c r="AA26" s="47"/>
      <c r="AB26" s="47"/>
      <c r="AC26" s="33" t="str">
        <f>I4</f>
        <v>Июль</v>
      </c>
      <c r="AD26" s="9">
        <f>Q4</f>
        <v>2025</v>
      </c>
      <c r="AE26" s="9" t="s">
        <v>76</v>
      </c>
      <c r="AF26" s="9"/>
    </row>
    <row r="27" spans="1:33" x14ac:dyDescent="0.25">
      <c r="B27" s="31"/>
      <c r="C27" s="31"/>
      <c r="D27" s="31"/>
      <c r="E27" s="31"/>
      <c r="F27" s="31"/>
      <c r="G27" s="30"/>
      <c r="H27" s="30"/>
      <c r="I27" s="30"/>
      <c r="J27" s="30"/>
      <c r="K27" s="30"/>
      <c r="L27" s="30"/>
      <c r="M27" s="9"/>
      <c r="T27" s="30"/>
      <c r="U27" s="30"/>
      <c r="V27" s="30"/>
      <c r="W27" s="30"/>
      <c r="X27" s="30"/>
      <c r="Y27" s="30"/>
      <c r="Z27" s="30"/>
      <c r="AA27" s="30"/>
      <c r="AB27" s="30"/>
      <c r="AC27" s="9"/>
      <c r="AD27" s="9"/>
      <c r="AE27" s="9"/>
      <c r="AF27" s="9"/>
    </row>
    <row r="28" spans="1:33" x14ac:dyDescent="0.25">
      <c r="B28" s="47" t="str">
        <f>ИТОГО!B38</f>
        <v xml:space="preserve">Нормы, расценки и сумма заработной платы проверил экономист: Яцевич Н. Г.  ____________________                    ________________________ " _____ " 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9">
        <f>Q4</f>
        <v>2025</v>
      </c>
      <c r="AG28" s="1" t="s">
        <v>76</v>
      </c>
    </row>
    <row r="30" spans="1:33" x14ac:dyDescent="0.25">
      <c r="B30" s="46" t="s">
        <v>72</v>
      </c>
      <c r="C30" s="46"/>
      <c r="D30" s="46"/>
      <c r="E30" s="46"/>
      <c r="F30" s="46"/>
      <c r="G30" s="46"/>
      <c r="H30" s="46"/>
    </row>
    <row r="32" spans="1:33" ht="13" x14ac:dyDescent="0.3">
      <c r="D32" s="60" t="s">
        <v>70</v>
      </c>
      <c r="E32" s="60"/>
      <c r="F32" s="60"/>
      <c r="G32" s="60"/>
      <c r="H32" s="60"/>
      <c r="I32" s="60"/>
      <c r="J32" s="61" t="str">
        <f>I4</f>
        <v>Июль</v>
      </c>
      <c r="K32" s="61"/>
      <c r="L32" s="61"/>
      <c r="M32" s="61"/>
      <c r="N32" s="61"/>
      <c r="O32" s="61"/>
      <c r="P32" s="62">
        <f>Q4</f>
        <v>2025</v>
      </c>
      <c r="Q32" s="62"/>
      <c r="R32" s="62"/>
      <c r="S32" s="62"/>
    </row>
    <row r="33" spans="1:33" ht="12.75" customHeight="1" x14ac:dyDescent="0.25">
      <c r="A33" s="160" t="s">
        <v>27</v>
      </c>
      <c r="B33" s="110" t="s">
        <v>26</v>
      </c>
      <c r="C33" s="164" t="s">
        <v>25</v>
      </c>
      <c r="D33" s="43" t="s">
        <v>9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5"/>
      <c r="T33" s="43" t="s">
        <v>10</v>
      </c>
      <c r="U33" s="44"/>
      <c r="V33" s="44"/>
      <c r="W33" s="44"/>
      <c r="X33" s="45"/>
      <c r="Y33" s="43" t="s">
        <v>11</v>
      </c>
      <c r="Z33" s="44"/>
      <c r="AA33" s="45"/>
      <c r="AB33" s="43" t="s">
        <v>12</v>
      </c>
      <c r="AC33" s="44"/>
      <c r="AD33" s="44"/>
      <c r="AE33" s="44"/>
      <c r="AF33" s="44"/>
      <c r="AG33" s="45"/>
    </row>
    <row r="34" spans="1:33" ht="18" customHeight="1" x14ac:dyDescent="0.25">
      <c r="A34" s="166"/>
      <c r="B34" s="111"/>
      <c r="C34" s="167"/>
      <c r="D34" s="10">
        <v>1</v>
      </c>
      <c r="E34" s="10">
        <v>2</v>
      </c>
      <c r="F34" s="10">
        <v>3</v>
      </c>
      <c r="G34" s="11">
        <v>4</v>
      </c>
      <c r="H34" s="10">
        <v>5</v>
      </c>
      <c r="I34" s="10">
        <v>6</v>
      </c>
      <c r="J34" s="10">
        <v>7</v>
      </c>
      <c r="K34" s="10">
        <v>8</v>
      </c>
      <c r="L34" s="10">
        <v>9</v>
      </c>
      <c r="M34" s="10">
        <v>10</v>
      </c>
      <c r="N34" s="10">
        <v>11</v>
      </c>
      <c r="O34" s="11">
        <v>12</v>
      </c>
      <c r="P34" s="10">
        <v>13</v>
      </c>
      <c r="Q34" s="10">
        <v>14</v>
      </c>
      <c r="R34" s="10">
        <v>15</v>
      </c>
      <c r="S34" s="8" t="s">
        <v>13</v>
      </c>
      <c r="T34" s="157" t="s">
        <v>14</v>
      </c>
      <c r="U34" s="158"/>
      <c r="V34" s="159"/>
      <c r="W34" s="160" t="s">
        <v>18</v>
      </c>
      <c r="X34" s="153" t="s">
        <v>19</v>
      </c>
      <c r="Y34" s="193" t="s">
        <v>15</v>
      </c>
      <c r="Z34" s="162" t="s">
        <v>20</v>
      </c>
      <c r="AA34" s="164" t="s">
        <v>19</v>
      </c>
      <c r="AB34" s="43" t="s">
        <v>21</v>
      </c>
      <c r="AC34" s="44"/>
      <c r="AD34" s="44"/>
      <c r="AE34" s="45"/>
      <c r="AF34" s="202" t="s">
        <v>23</v>
      </c>
      <c r="AG34" s="200" t="s">
        <v>24</v>
      </c>
    </row>
    <row r="35" spans="1:33" ht="18" customHeight="1" x14ac:dyDescent="0.25">
      <c r="A35" s="161"/>
      <c r="B35" s="112"/>
      <c r="C35" s="165"/>
      <c r="D35" s="10">
        <v>16</v>
      </c>
      <c r="E35" s="10">
        <v>17</v>
      </c>
      <c r="F35" s="10">
        <v>18</v>
      </c>
      <c r="G35" s="10">
        <v>19</v>
      </c>
      <c r="H35" s="10">
        <v>20</v>
      </c>
      <c r="I35" s="10">
        <v>21</v>
      </c>
      <c r="J35" s="10">
        <v>22</v>
      </c>
      <c r="K35" s="10">
        <v>23</v>
      </c>
      <c r="L35" s="10">
        <v>24</v>
      </c>
      <c r="M35" s="10">
        <v>25</v>
      </c>
      <c r="N35" s="10">
        <v>26</v>
      </c>
      <c r="O35" s="10">
        <v>27</v>
      </c>
      <c r="P35" s="10">
        <v>28</v>
      </c>
      <c r="Q35" s="10">
        <v>29</v>
      </c>
      <c r="R35" s="10">
        <v>30</v>
      </c>
      <c r="S35" s="10">
        <v>31</v>
      </c>
      <c r="T35" s="12" t="s">
        <v>15</v>
      </c>
      <c r="U35" s="13" t="s">
        <v>16</v>
      </c>
      <c r="V35" s="13" t="s">
        <v>17</v>
      </c>
      <c r="W35" s="161"/>
      <c r="X35" s="154"/>
      <c r="Y35" s="194"/>
      <c r="Z35" s="163"/>
      <c r="AA35" s="165"/>
      <c r="AB35" s="14" t="s">
        <v>15</v>
      </c>
      <c r="AC35" s="12" t="s">
        <v>22</v>
      </c>
      <c r="AD35" s="12" t="s">
        <v>17</v>
      </c>
      <c r="AE35" s="12" t="s">
        <v>18</v>
      </c>
      <c r="AF35" s="203"/>
      <c r="AG35" s="201"/>
    </row>
    <row r="36" spans="1:33" x14ac:dyDescent="0.25">
      <c r="A36" s="57">
        <v>1</v>
      </c>
      <c r="B36" s="235" t="str">
        <f>B7</f>
        <v>Стубеда В. Т.</v>
      </c>
      <c r="C36" s="233">
        <f>ИТОГО!C46</f>
        <v>6</v>
      </c>
      <c r="D36" s="21">
        <v>8</v>
      </c>
      <c r="E36" s="21"/>
      <c r="F36" s="21"/>
      <c r="G36" s="21">
        <v>8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69">
        <f>SUM(D36:S37)</f>
        <v>16</v>
      </c>
      <c r="U36" s="57"/>
      <c r="V36" s="57"/>
      <c r="W36" s="155"/>
      <c r="X36" s="69">
        <f>SUM(T36:W37)</f>
        <v>16</v>
      </c>
      <c r="Y36" s="115">
        <f>COUNT(D36:S37)</f>
        <v>2</v>
      </c>
      <c r="Z36" s="57"/>
      <c r="AA36" s="57">
        <f>SUM(Y36:Z37)</f>
        <v>2</v>
      </c>
      <c r="AB36" s="57"/>
      <c r="AC36" s="57"/>
      <c r="AD36" s="57"/>
      <c r="AE36" s="57"/>
      <c r="AF36" s="57"/>
      <c r="AG36" s="113" t="e">
        <f>AE60</f>
        <v>#REF!</v>
      </c>
    </row>
    <row r="37" spans="1:33" x14ac:dyDescent="0.25">
      <c r="A37" s="58"/>
      <c r="B37" s="236"/>
      <c r="C37" s="234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70"/>
      <c r="U37" s="58"/>
      <c r="V37" s="58"/>
      <c r="W37" s="156"/>
      <c r="X37" s="70"/>
      <c r="Y37" s="116"/>
      <c r="Z37" s="58"/>
      <c r="AA37" s="58"/>
      <c r="AB37" s="58"/>
      <c r="AC37" s="58"/>
      <c r="AD37" s="58"/>
      <c r="AE37" s="58"/>
      <c r="AF37" s="58"/>
      <c r="AG37" s="114"/>
    </row>
    <row r="38" spans="1:33" x14ac:dyDescent="0.25">
      <c r="A38" s="57">
        <v>14</v>
      </c>
      <c r="B38" s="235">
        <f>ИТОГО!B72</f>
        <v>0</v>
      </c>
      <c r="C38" s="233">
        <f>ИТОГО!C72</f>
        <v>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69">
        <f>SUM(D38:S39)</f>
        <v>0</v>
      </c>
      <c r="U38" s="57"/>
      <c r="V38" s="57"/>
      <c r="W38" s="57"/>
      <c r="X38" s="69">
        <f>SUM(T38:W39)</f>
        <v>0</v>
      </c>
      <c r="Y38" s="115">
        <f>COUNT(D38:S39)</f>
        <v>0</v>
      </c>
      <c r="Z38" s="57"/>
      <c r="AA38" s="57">
        <f>SUM(Y38:Z39)</f>
        <v>0</v>
      </c>
      <c r="AB38" s="57"/>
      <c r="AC38" s="57"/>
      <c r="AD38" s="57"/>
      <c r="AE38" s="57"/>
      <c r="AF38" s="57"/>
      <c r="AG38" s="113" t="e">
        <f>AE61</f>
        <v>#REF!</v>
      </c>
    </row>
    <row r="39" spans="1:33" x14ac:dyDescent="0.25">
      <c r="A39" s="58"/>
      <c r="B39" s="236"/>
      <c r="C39" s="234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70"/>
      <c r="U39" s="58"/>
      <c r="V39" s="58"/>
      <c r="W39" s="58"/>
      <c r="X39" s="70"/>
      <c r="Y39" s="116"/>
      <c r="Z39" s="58"/>
      <c r="AA39" s="58"/>
      <c r="AB39" s="58"/>
      <c r="AC39" s="58"/>
      <c r="AD39" s="58"/>
      <c r="AE39" s="58"/>
      <c r="AF39" s="58"/>
      <c r="AG39" s="114"/>
    </row>
    <row r="40" spans="1:33" ht="12.75" customHeight="1" x14ac:dyDescent="0.25">
      <c r="Q40" s="151" t="s">
        <v>28</v>
      </c>
      <c r="R40" s="151"/>
      <c r="S40" s="152"/>
      <c r="T40" s="16">
        <f>SUM(T36:T39)</f>
        <v>16</v>
      </c>
      <c r="U40" s="5"/>
      <c r="V40" s="5"/>
      <c r="W40" s="5"/>
      <c r="X40" s="5">
        <f>SUM(X36:X39)</f>
        <v>16</v>
      </c>
      <c r="Y40" s="17">
        <f>SUM(Y36:Y39)</f>
        <v>2</v>
      </c>
      <c r="Z40" s="5"/>
      <c r="AA40" s="5">
        <f>SUM(AA36:AA39)</f>
        <v>2</v>
      </c>
      <c r="AB40" s="5"/>
      <c r="AC40" s="5"/>
      <c r="AD40" s="5"/>
      <c r="AE40" s="5"/>
      <c r="AF40" s="5"/>
      <c r="AG40" s="23" t="e">
        <f>SUM(AG36:AG39)</f>
        <v>#REF!</v>
      </c>
    </row>
    <row r="41" spans="1:33" ht="12.75" customHeight="1" x14ac:dyDescent="0.25">
      <c r="Q41" s="18"/>
      <c r="R41" s="18"/>
      <c r="S41" s="18"/>
      <c r="T41" s="19"/>
      <c r="U41" s="19"/>
      <c r="V41" s="19"/>
      <c r="W41" s="19"/>
      <c r="X41" s="19"/>
      <c r="Y41" s="20"/>
      <c r="Z41" s="19"/>
      <c r="AA41" s="19"/>
      <c r="AB41" s="19"/>
      <c r="AC41" s="19"/>
      <c r="AD41" s="19"/>
      <c r="AE41" s="19"/>
      <c r="AF41" s="19"/>
      <c r="AG41" s="19"/>
    </row>
    <row r="42" spans="1:33" x14ac:dyDescent="0.25">
      <c r="B42" s="47" t="s">
        <v>29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T42" s="46" t="s">
        <v>92</v>
      </c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</row>
    <row r="43" spans="1:33" ht="24" customHeight="1" x14ac:dyDescent="0.25">
      <c r="B43" s="204" t="s">
        <v>30</v>
      </c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T43" s="204" t="s">
        <v>68</v>
      </c>
      <c r="U43" s="204"/>
      <c r="V43" s="204"/>
      <c r="W43" s="204"/>
      <c r="X43" s="204"/>
      <c r="Y43" s="241"/>
      <c r="Z43" s="241"/>
      <c r="AA43" s="241"/>
      <c r="AB43" s="241"/>
      <c r="AC43" s="241"/>
      <c r="AD43" s="241"/>
      <c r="AE43" s="241"/>
      <c r="AF43" s="241"/>
      <c r="AG43" s="241"/>
    </row>
    <row r="44" spans="1:33" x14ac:dyDescent="0.25">
      <c r="B44" s="46" t="s">
        <v>31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spans="1:33" x14ac:dyDescent="0.25">
      <c r="B45" s="46" t="str">
        <f>ИТОГО!B79</f>
        <v>Экономист Яцевич Н. Г.  ______________________________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T45" s="46" t="s">
        <v>32</v>
      </c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spans="1:33" x14ac:dyDescent="0.25">
      <c r="T46" s="47" t="s">
        <v>33</v>
      </c>
      <c r="U46" s="47"/>
      <c r="V46" s="47"/>
      <c r="W46" s="47"/>
      <c r="X46" s="47"/>
      <c r="Y46" s="47"/>
      <c r="Z46" s="42" t="str">
        <f>ИТОГО!Z80</f>
        <v>Нач ДРСУ 161 _______________ Залога Г.Ч.</v>
      </c>
      <c r="AA46" s="42"/>
      <c r="AB46" s="42"/>
      <c r="AC46" s="42"/>
      <c r="AD46" s="42"/>
      <c r="AE46" s="42"/>
      <c r="AF46" s="42"/>
      <c r="AG46" s="42"/>
    </row>
    <row r="47" spans="1:33" x14ac:dyDescent="0.25">
      <c r="C47" s="59" t="s">
        <v>83</v>
      </c>
      <c r="D47" s="59"/>
      <c r="E47" s="59"/>
      <c r="F47" s="59"/>
      <c r="G47" s="59"/>
      <c r="H47" s="59"/>
      <c r="I47" s="59"/>
      <c r="J47" s="59"/>
      <c r="K47" s="59"/>
      <c r="L47" s="56">
        <f>Q4</f>
        <v>2025</v>
      </c>
      <c r="M47" s="56"/>
      <c r="N47" s="4" t="s">
        <v>76</v>
      </c>
      <c r="Z47" s="42" t="str">
        <f>ИТОГО!Z81</f>
        <v xml:space="preserve"> мастер __________________Голец П.В.</v>
      </c>
      <c r="AA47" s="42"/>
      <c r="AB47" s="42"/>
      <c r="AC47" s="42"/>
      <c r="AD47" s="42"/>
      <c r="AE47" s="42"/>
      <c r="AF47" s="42"/>
      <c r="AG47" s="42"/>
    </row>
    <row r="48" spans="1:33" x14ac:dyDescent="0.25">
      <c r="X48" s="46" t="s">
        <v>84</v>
      </c>
      <c r="Y48" s="46"/>
      <c r="Z48" s="46"/>
      <c r="AA48" s="46"/>
      <c r="AB48" s="46"/>
      <c r="AC48" s="46"/>
      <c r="AD48" s="46"/>
      <c r="AE48" s="9">
        <f>Q4</f>
        <v>2025</v>
      </c>
      <c r="AF48" s="9" t="s">
        <v>76</v>
      </c>
    </row>
    <row r="50" spans="1:33" x14ac:dyDescent="0.25">
      <c r="I50" s="56" t="s">
        <v>57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</row>
    <row r="52" spans="1:33" ht="13" x14ac:dyDescent="0.3">
      <c r="D52" s="56" t="s">
        <v>58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33" ht="13" x14ac:dyDescent="0.3">
      <c r="I53" s="206" t="s">
        <v>71</v>
      </c>
      <c r="J53" s="206"/>
      <c r="K53" s="206"/>
      <c r="L53" s="126" t="str">
        <f>I4</f>
        <v>Июль</v>
      </c>
      <c r="M53" s="126"/>
      <c r="N53" s="126"/>
      <c r="O53" s="126"/>
      <c r="P53" s="126"/>
      <c r="Q53" s="126"/>
      <c r="R53" s="126"/>
      <c r="S53" s="149">
        <f>Q4</f>
        <v>2025</v>
      </c>
      <c r="T53" s="149"/>
      <c r="U53" s="149"/>
      <c r="V53" s="4" t="s">
        <v>76</v>
      </c>
    </row>
    <row r="54" spans="1:33" x14ac:dyDescent="0.25">
      <c r="L54" s="2"/>
    </row>
    <row r="55" spans="1:33" x14ac:dyDescent="0.25">
      <c r="A55" s="59" t="str">
        <f>A5</f>
        <v>Объект: Содержание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</row>
    <row r="56" spans="1:33" ht="13" x14ac:dyDescent="0.3">
      <c r="K56" s="61" t="s">
        <v>90</v>
      </c>
      <c r="L56" s="61"/>
      <c r="M56" s="61"/>
      <c r="N56" s="61"/>
      <c r="O56" s="61"/>
      <c r="P56" s="61"/>
      <c r="Q56" s="61"/>
      <c r="R56" s="61"/>
      <c r="S56" s="61"/>
      <c r="T56" s="61"/>
      <c r="U56" s="61"/>
    </row>
    <row r="57" spans="1:33" ht="12.75" customHeight="1" x14ac:dyDescent="0.25">
      <c r="A57" s="110" t="s">
        <v>59</v>
      </c>
      <c r="B57" s="92" t="s">
        <v>26</v>
      </c>
      <c r="C57" s="93"/>
      <c r="D57" s="93"/>
      <c r="E57" s="93"/>
      <c r="F57" s="93"/>
      <c r="G57" s="93"/>
      <c r="H57" s="94"/>
      <c r="I57" s="92" t="s">
        <v>60</v>
      </c>
      <c r="J57" s="93"/>
      <c r="K57" s="94"/>
      <c r="L57" s="101" t="s">
        <v>61</v>
      </c>
      <c r="M57" s="102"/>
      <c r="N57" s="102"/>
      <c r="O57" s="103"/>
      <c r="P57" s="101" t="s">
        <v>62</v>
      </c>
      <c r="Q57" s="102"/>
      <c r="R57" s="102"/>
      <c r="S57" s="103"/>
      <c r="T57" s="101" t="s">
        <v>63</v>
      </c>
      <c r="U57" s="102"/>
      <c r="V57" s="103"/>
      <c r="W57" s="101" t="s">
        <v>64</v>
      </c>
      <c r="X57" s="102"/>
      <c r="Y57" s="102"/>
      <c r="Z57" s="103"/>
      <c r="AA57" s="92" t="s">
        <v>87</v>
      </c>
      <c r="AB57" s="93"/>
      <c r="AC57" s="93"/>
      <c r="AD57" s="94"/>
      <c r="AE57" s="101" t="s">
        <v>65</v>
      </c>
      <c r="AF57" s="102"/>
      <c r="AG57" s="103"/>
    </row>
    <row r="58" spans="1:33" x14ac:dyDescent="0.25">
      <c r="A58" s="111"/>
      <c r="B58" s="95"/>
      <c r="C58" s="96"/>
      <c r="D58" s="96"/>
      <c r="E58" s="96"/>
      <c r="F58" s="96"/>
      <c r="G58" s="96"/>
      <c r="H58" s="97"/>
      <c r="I58" s="95"/>
      <c r="J58" s="96"/>
      <c r="K58" s="97"/>
      <c r="L58" s="104"/>
      <c r="M58" s="105"/>
      <c r="N58" s="105"/>
      <c r="O58" s="106"/>
      <c r="P58" s="104"/>
      <c r="Q58" s="105"/>
      <c r="R58" s="105"/>
      <c r="S58" s="106"/>
      <c r="T58" s="104"/>
      <c r="U58" s="105"/>
      <c r="V58" s="106"/>
      <c r="W58" s="104"/>
      <c r="X58" s="105"/>
      <c r="Y58" s="105"/>
      <c r="Z58" s="106"/>
      <c r="AA58" s="95"/>
      <c r="AB58" s="96"/>
      <c r="AC58" s="96"/>
      <c r="AD58" s="97"/>
      <c r="AE58" s="104"/>
      <c r="AF58" s="105"/>
      <c r="AG58" s="106"/>
    </row>
    <row r="59" spans="1:33" x14ac:dyDescent="0.25">
      <c r="A59" s="112"/>
      <c r="B59" s="98"/>
      <c r="C59" s="99"/>
      <c r="D59" s="99"/>
      <c r="E59" s="99"/>
      <c r="F59" s="99"/>
      <c r="G59" s="99"/>
      <c r="H59" s="100"/>
      <c r="I59" s="98"/>
      <c r="J59" s="99"/>
      <c r="K59" s="100"/>
      <c r="L59" s="107"/>
      <c r="M59" s="108"/>
      <c r="N59" s="108"/>
      <c r="O59" s="109"/>
      <c r="P59" s="107"/>
      <c r="Q59" s="108"/>
      <c r="R59" s="108"/>
      <c r="S59" s="109"/>
      <c r="T59" s="107"/>
      <c r="U59" s="108"/>
      <c r="V59" s="109"/>
      <c r="W59" s="107"/>
      <c r="X59" s="108"/>
      <c r="Y59" s="108"/>
      <c r="Z59" s="109"/>
      <c r="AA59" s="98"/>
      <c r="AB59" s="99"/>
      <c r="AC59" s="99"/>
      <c r="AD59" s="100"/>
      <c r="AE59" s="107"/>
      <c r="AF59" s="108"/>
      <c r="AG59" s="109"/>
    </row>
    <row r="60" spans="1:33" ht="21.75" customHeight="1" x14ac:dyDescent="0.25">
      <c r="A60" s="5">
        <v>1</v>
      </c>
      <c r="B60" s="73" t="str">
        <f>B36</f>
        <v>Стубеда В. Т.</v>
      </c>
      <c r="C60" s="74"/>
      <c r="D60" s="74"/>
      <c r="E60" s="74"/>
      <c r="F60" s="74"/>
      <c r="G60" s="74"/>
      <c r="H60" s="75"/>
      <c r="I60" s="89">
        <f>C36</f>
        <v>6</v>
      </c>
      <c r="J60" s="90"/>
      <c r="K60" s="91"/>
      <c r="L60" s="89">
        <f>ИТОГО!L94</f>
        <v>1.88</v>
      </c>
      <c r="M60" s="90"/>
      <c r="N60" s="90"/>
      <c r="O60" s="91"/>
      <c r="P60" s="43">
        <f>Y36</f>
        <v>2</v>
      </c>
      <c r="Q60" s="44"/>
      <c r="R60" s="44"/>
      <c r="S60" s="45"/>
      <c r="T60" s="43">
        <f>T36</f>
        <v>16</v>
      </c>
      <c r="U60" s="44"/>
      <c r="V60" s="45"/>
      <c r="W60" s="76">
        <f>L60*T60</f>
        <v>30.08</v>
      </c>
      <c r="X60" s="77"/>
      <c r="Y60" s="77"/>
      <c r="Z60" s="78"/>
      <c r="AA60" s="43" t="e">
        <f>IF(W62=0,0,AE63/W62)</f>
        <v>#REF!</v>
      </c>
      <c r="AB60" s="44"/>
      <c r="AC60" s="44"/>
      <c r="AD60" s="45"/>
      <c r="AE60" s="230" t="e">
        <f>ROUND(W60*AA60,2)</f>
        <v>#REF!</v>
      </c>
      <c r="AF60" s="231"/>
      <c r="AG60" s="232"/>
    </row>
    <row r="61" spans="1:33" ht="22.5" customHeight="1" x14ac:dyDescent="0.25">
      <c r="A61" s="5">
        <v>14</v>
      </c>
      <c r="B61" s="73">
        <f>B38</f>
        <v>0</v>
      </c>
      <c r="C61" s="74"/>
      <c r="D61" s="74"/>
      <c r="E61" s="74"/>
      <c r="F61" s="74"/>
      <c r="G61" s="74"/>
      <c r="H61" s="75"/>
      <c r="I61" s="89">
        <f>C38</f>
        <v>0</v>
      </c>
      <c r="J61" s="90"/>
      <c r="K61" s="91"/>
      <c r="L61" s="89">
        <f>ИТОГО!L107</f>
        <v>0</v>
      </c>
      <c r="M61" s="90"/>
      <c r="N61" s="90"/>
      <c r="O61" s="91"/>
      <c r="P61" s="43">
        <f>Y38</f>
        <v>0</v>
      </c>
      <c r="Q61" s="44"/>
      <c r="R61" s="44"/>
      <c r="S61" s="45"/>
      <c r="T61" s="43">
        <f>T38</f>
        <v>0</v>
      </c>
      <c r="U61" s="44"/>
      <c r="V61" s="45"/>
      <c r="W61" s="76">
        <f>L61*T61</f>
        <v>0</v>
      </c>
      <c r="X61" s="77"/>
      <c r="Y61" s="77"/>
      <c r="Z61" s="78"/>
      <c r="AA61" s="43" t="e">
        <f>IF(W62=0,0,AE63/W62)</f>
        <v>#REF!</v>
      </c>
      <c r="AB61" s="44"/>
      <c r="AC61" s="44"/>
      <c r="AD61" s="45"/>
      <c r="AE61" s="230" t="e">
        <f>ROUND(W61*AA61,2)</f>
        <v>#REF!</v>
      </c>
      <c r="AF61" s="231"/>
      <c r="AG61" s="232"/>
    </row>
    <row r="62" spans="1:33" ht="22.5" customHeight="1" x14ac:dyDescent="0.25">
      <c r="W62" s="76">
        <f>SUM(W60:Z61)</f>
        <v>30.08</v>
      </c>
      <c r="X62" s="77"/>
      <c r="Y62" s="77"/>
      <c r="Z62" s="78"/>
      <c r="AE62" s="76" t="e">
        <f>SUM(AE60:AG61)</f>
        <v>#REF!</v>
      </c>
      <c r="AF62" s="77"/>
      <c r="AG62" s="78"/>
    </row>
    <row r="63" spans="1:33" x14ac:dyDescent="0.25">
      <c r="AB63" s="56" t="s">
        <v>66</v>
      </c>
      <c r="AC63" s="56"/>
      <c r="AD63" s="88"/>
      <c r="AE63" s="82" t="e">
        <f>AE22</f>
        <v>#REF!</v>
      </c>
      <c r="AF63" s="83"/>
      <c r="AG63" s="84"/>
    </row>
    <row r="64" spans="1:33" x14ac:dyDescent="0.25">
      <c r="AB64" s="56"/>
      <c r="AC64" s="56"/>
      <c r="AD64" s="88"/>
      <c r="AE64" s="85"/>
      <c r="AF64" s="86"/>
      <c r="AG64" s="87"/>
    </row>
  </sheetData>
  <mergeCells count="248">
    <mergeCell ref="AC20:AD20"/>
    <mergeCell ref="AE20:AF20"/>
    <mergeCell ref="B20:F20"/>
    <mergeCell ref="G20:H20"/>
    <mergeCell ref="I20:L20"/>
    <mergeCell ref="M20:O20"/>
    <mergeCell ref="P20:S20"/>
    <mergeCell ref="T20:U20"/>
    <mergeCell ref="V20:W20"/>
    <mergeCell ref="X20:Z20"/>
    <mergeCell ref="P19:S19"/>
    <mergeCell ref="AE19:AF19"/>
    <mergeCell ref="T19:U19"/>
    <mergeCell ref="V19:W19"/>
    <mergeCell ref="X19:Z19"/>
    <mergeCell ref="AA19:AB19"/>
    <mergeCell ref="AC19:AD19"/>
    <mergeCell ref="B18:F18"/>
    <mergeCell ref="G18:H18"/>
    <mergeCell ref="I18:L18"/>
    <mergeCell ref="M18:O18"/>
    <mergeCell ref="P18:S18"/>
    <mergeCell ref="T18:U18"/>
    <mergeCell ref="S53:U53"/>
    <mergeCell ref="I53:K53"/>
    <mergeCell ref="L53:R53"/>
    <mergeCell ref="P17:S17"/>
    <mergeCell ref="T17:U17"/>
    <mergeCell ref="AA17:AB17"/>
    <mergeCell ref="V18:W18"/>
    <mergeCell ref="X18:Z18"/>
    <mergeCell ref="AA18:AB18"/>
    <mergeCell ref="Y33:AA33"/>
    <mergeCell ref="T45:AD45"/>
    <mergeCell ref="T43:X43"/>
    <mergeCell ref="Y43:AG43"/>
    <mergeCell ref="B44:Q44"/>
    <mergeCell ref="B43:Q43"/>
    <mergeCell ref="Z36:Z37"/>
    <mergeCell ref="T36:T37"/>
    <mergeCell ref="AE36:AE37"/>
    <mergeCell ref="AC36:AC37"/>
    <mergeCell ref="AG38:AG39"/>
    <mergeCell ref="AA20:AB20"/>
    <mergeCell ref="C36:C37"/>
    <mergeCell ref="AG34:AG35"/>
    <mergeCell ref="B19:F19"/>
    <mergeCell ref="G19:H19"/>
    <mergeCell ref="I19:L19"/>
    <mergeCell ref="M19:O19"/>
    <mergeCell ref="AF36:AF37"/>
    <mergeCell ref="B36:B37"/>
    <mergeCell ref="AG36:AG37"/>
    <mergeCell ref="P12:S13"/>
    <mergeCell ref="B14:F14"/>
    <mergeCell ref="T12:U13"/>
    <mergeCell ref="P14:S14"/>
    <mergeCell ref="AB34:AE34"/>
    <mergeCell ref="P21:S21"/>
    <mergeCell ref="G17:H17"/>
    <mergeCell ref="I17:L17"/>
    <mergeCell ref="M17:O17"/>
    <mergeCell ref="K26:L26"/>
    <mergeCell ref="M15:O15"/>
    <mergeCell ref="J5:W5"/>
    <mergeCell ref="Q7:U7"/>
    <mergeCell ref="Q8:U8"/>
    <mergeCell ref="V8:Z8"/>
    <mergeCell ref="X14:Z14"/>
    <mergeCell ref="T14:U14"/>
    <mergeCell ref="V14:W14"/>
    <mergeCell ref="T11:W11"/>
    <mergeCell ref="I10:W10"/>
    <mergeCell ref="I16:L16"/>
    <mergeCell ref="A10:A13"/>
    <mergeCell ref="M11:S11"/>
    <mergeCell ref="G10:H13"/>
    <mergeCell ref="M16:O16"/>
    <mergeCell ref="P16:S16"/>
    <mergeCell ref="B10:F13"/>
    <mergeCell ref="I11:L13"/>
    <mergeCell ref="P15:S15"/>
    <mergeCell ref="B15:F15"/>
    <mergeCell ref="A33:A35"/>
    <mergeCell ref="C33:C35"/>
    <mergeCell ref="D33:S33"/>
    <mergeCell ref="B33:B35"/>
    <mergeCell ref="B17:F17"/>
    <mergeCell ref="K24:L24"/>
    <mergeCell ref="G26:J26"/>
    <mergeCell ref="B28:AE28"/>
    <mergeCell ref="T26:AB26"/>
    <mergeCell ref="AE17:AF17"/>
    <mergeCell ref="AA16:AB16"/>
    <mergeCell ref="T34:V34"/>
    <mergeCell ref="W34:W35"/>
    <mergeCell ref="X16:Z16"/>
    <mergeCell ref="T33:X33"/>
    <mergeCell ref="Y34:Y35"/>
    <mergeCell ref="AB33:AG33"/>
    <mergeCell ref="AE16:AF16"/>
    <mergeCell ref="AF34:AF35"/>
    <mergeCell ref="X34:X35"/>
    <mergeCell ref="V17:W17"/>
    <mergeCell ref="U36:U37"/>
    <mergeCell ref="X17:Z17"/>
    <mergeCell ref="T24:AB24"/>
    <mergeCell ref="D25:AC25"/>
    <mergeCell ref="B26:F26"/>
    <mergeCell ref="W36:W37"/>
    <mergeCell ref="B30:H30"/>
    <mergeCell ref="Z34:Z35"/>
    <mergeCell ref="AA34:AA35"/>
    <mergeCell ref="A36:A37"/>
    <mergeCell ref="V36:V37"/>
    <mergeCell ref="AD36:AD37"/>
    <mergeCell ref="AA36:AA37"/>
    <mergeCell ref="AB36:AB37"/>
    <mergeCell ref="Y36:Y37"/>
    <mergeCell ref="B42:Q42"/>
    <mergeCell ref="T42:AG42"/>
    <mergeCell ref="Q40:S40"/>
    <mergeCell ref="U38:U39"/>
    <mergeCell ref="T38:T39"/>
    <mergeCell ref="V38:V39"/>
    <mergeCell ref="AA38:AA39"/>
    <mergeCell ref="AB38:AB39"/>
    <mergeCell ref="Z38:Z39"/>
    <mergeCell ref="B1:E1"/>
    <mergeCell ref="G3:T3"/>
    <mergeCell ref="F4:H4"/>
    <mergeCell ref="W38:W39"/>
    <mergeCell ref="C38:C39"/>
    <mergeCell ref="I4:P4"/>
    <mergeCell ref="A4:C4"/>
    <mergeCell ref="A38:A39"/>
    <mergeCell ref="T21:U21"/>
    <mergeCell ref="G14:H14"/>
    <mergeCell ref="AE3:AF3"/>
    <mergeCell ref="AA3:AD3"/>
    <mergeCell ref="A3:C3"/>
    <mergeCell ref="A2:F2"/>
    <mergeCell ref="AD38:AD39"/>
    <mergeCell ref="AE38:AE39"/>
    <mergeCell ref="AF38:AF39"/>
    <mergeCell ref="AA11:AB13"/>
    <mergeCell ref="AE4:AF4"/>
    <mergeCell ref="V7:Z7"/>
    <mergeCell ref="AE11:AF13"/>
    <mergeCell ref="V15:W15"/>
    <mergeCell ref="X15:Z15"/>
    <mergeCell ref="AA15:AB15"/>
    <mergeCell ref="AC15:AD15"/>
    <mergeCell ref="AA14:AB14"/>
    <mergeCell ref="AC14:AD14"/>
    <mergeCell ref="AE14:AF14"/>
    <mergeCell ref="AE15:AF15"/>
    <mergeCell ref="V12:W13"/>
    <mergeCell ref="AG10:AG13"/>
    <mergeCell ref="AA5:AD5"/>
    <mergeCell ref="AE5:AF5"/>
    <mergeCell ref="AE7:AG7"/>
    <mergeCell ref="AA7:AD7"/>
    <mergeCell ref="AA8:AD8"/>
    <mergeCell ref="AE8:AG8"/>
    <mergeCell ref="X10:AF10"/>
    <mergeCell ref="X11:Z13"/>
    <mergeCell ref="AC11:AD13"/>
    <mergeCell ref="AE21:AF21"/>
    <mergeCell ref="AE22:AF22"/>
    <mergeCell ref="T16:U16"/>
    <mergeCell ref="V16:W16"/>
    <mergeCell ref="AC16:AD16"/>
    <mergeCell ref="I15:L15"/>
    <mergeCell ref="AC17:AD17"/>
    <mergeCell ref="AC18:AD18"/>
    <mergeCell ref="T15:U15"/>
    <mergeCell ref="AE18:AF18"/>
    <mergeCell ref="AE57:AG59"/>
    <mergeCell ref="A55:AG55"/>
    <mergeCell ref="A57:A59"/>
    <mergeCell ref="B57:H59"/>
    <mergeCell ref="I57:K59"/>
    <mergeCell ref="L57:O59"/>
    <mergeCell ref="P57:S59"/>
    <mergeCell ref="T57:V59"/>
    <mergeCell ref="W57:Z59"/>
    <mergeCell ref="K56:U56"/>
    <mergeCell ref="B60:H60"/>
    <mergeCell ref="I60:K60"/>
    <mergeCell ref="L60:O60"/>
    <mergeCell ref="P60:S60"/>
    <mergeCell ref="W60:Z60"/>
    <mergeCell ref="AA57:AD59"/>
    <mergeCell ref="T60:V60"/>
    <mergeCell ref="AA60:AD60"/>
    <mergeCell ref="T61:V61"/>
    <mergeCell ref="W61:Z61"/>
    <mergeCell ref="P61:S61"/>
    <mergeCell ref="B61:H61"/>
    <mergeCell ref="I61:K61"/>
    <mergeCell ref="L61:O61"/>
    <mergeCell ref="W62:Z62"/>
    <mergeCell ref="AE62:AG62"/>
    <mergeCell ref="AA61:AD61"/>
    <mergeCell ref="AE61:AG61"/>
    <mergeCell ref="AE63:AG64"/>
    <mergeCell ref="AB63:AD64"/>
    <mergeCell ref="AE60:AG60"/>
    <mergeCell ref="D52:Z52"/>
    <mergeCell ref="C47:K47"/>
    <mergeCell ref="L47:M47"/>
    <mergeCell ref="B38:B39"/>
    <mergeCell ref="X21:Z21"/>
    <mergeCell ref="X48:AD48"/>
    <mergeCell ref="X38:X39"/>
    <mergeCell ref="AC38:AC39"/>
    <mergeCell ref="X36:X37"/>
    <mergeCell ref="Q4:R4"/>
    <mergeCell ref="M12:O13"/>
    <mergeCell ref="P32:S32"/>
    <mergeCell ref="M14:O14"/>
    <mergeCell ref="A5:I5"/>
    <mergeCell ref="G24:J24"/>
    <mergeCell ref="I14:L14"/>
    <mergeCell ref="G15:H15"/>
    <mergeCell ref="B16:F16"/>
    <mergeCell ref="G16:H16"/>
    <mergeCell ref="B45:Q45"/>
    <mergeCell ref="T46:Y46"/>
    <mergeCell ref="D32:I32"/>
    <mergeCell ref="J32:O32"/>
    <mergeCell ref="A6:C6"/>
    <mergeCell ref="Y38:Y39"/>
    <mergeCell ref="M21:O21"/>
    <mergeCell ref="I21:L21"/>
    <mergeCell ref="G21:H21"/>
    <mergeCell ref="B21:F21"/>
    <mergeCell ref="I50:U50"/>
    <mergeCell ref="Z46:AG46"/>
    <mergeCell ref="Z47:AG47"/>
    <mergeCell ref="AA4:AD4"/>
    <mergeCell ref="E9:P9"/>
    <mergeCell ref="AB22:AD22"/>
    <mergeCell ref="B24:F24"/>
    <mergeCell ref="AC21:AD21"/>
    <mergeCell ref="AA21:AB21"/>
    <mergeCell ref="V21:W21"/>
  </mergeCells>
  <phoneticPr fontId="2" type="noConversion"/>
  <pageMargins left="0.39370078740157483" right="0.39370078740157483" top="0.39370078740157483" bottom="0.39370078740157483" header="0.39370078740157483" footer="0.31496062992125984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"/>
  <sheetViews>
    <sheetView tabSelected="1" workbookViewId="0">
      <selection activeCell="AG85" sqref="AG85"/>
    </sheetView>
  </sheetViews>
  <sheetFormatPr defaultColWidth="9.1796875" defaultRowHeight="12.5" x14ac:dyDescent="0.25"/>
  <cols>
    <col min="1" max="1" width="7.81640625" style="1" customWidth="1"/>
    <col min="2" max="2" width="22.26953125" style="1" customWidth="1"/>
    <col min="3" max="3" width="4.453125" style="1" customWidth="1"/>
    <col min="4" max="4" width="2.7265625" style="1" customWidth="1"/>
    <col min="5" max="7" width="2.54296875" style="1" customWidth="1"/>
    <col min="8" max="14" width="2.7265625" style="1" customWidth="1"/>
    <col min="15" max="15" width="2.453125" style="1" customWidth="1"/>
    <col min="16" max="16" width="2.7265625" style="1" customWidth="1"/>
    <col min="17" max="17" width="2.54296875" style="1" customWidth="1"/>
    <col min="18" max="18" width="2.453125" style="1" customWidth="1"/>
    <col min="19" max="19" width="2.7265625" style="1" customWidth="1"/>
    <col min="20" max="26" width="3.7265625" style="1" customWidth="1"/>
    <col min="27" max="30" width="4.7265625" style="1" customWidth="1"/>
    <col min="31" max="31" width="4.81640625" style="1" customWidth="1"/>
    <col min="32" max="32" width="5.453125" style="1" customWidth="1"/>
    <col min="33" max="33" width="8.81640625" style="1" customWidth="1"/>
    <col min="34" max="16384" width="9.1796875" style="1"/>
  </cols>
  <sheetData>
    <row r="1" spans="1:33" x14ac:dyDescent="0.25">
      <c r="B1" s="47" t="s">
        <v>0</v>
      </c>
      <c r="C1" s="47"/>
      <c r="D1" s="47"/>
      <c r="E1" s="47"/>
    </row>
    <row r="2" spans="1:33" x14ac:dyDescent="0.25">
      <c r="A2" s="56" t="s">
        <v>73</v>
      </c>
      <c r="B2" s="56"/>
      <c r="C2" s="56"/>
      <c r="D2" s="56"/>
      <c r="E2" s="56"/>
      <c r="F2" s="56"/>
    </row>
    <row r="3" spans="1:33" x14ac:dyDescent="0.25">
      <c r="A3" s="56" t="s">
        <v>74</v>
      </c>
      <c r="B3" s="56"/>
      <c r="C3" s="56"/>
      <c r="G3" s="56" t="s">
        <v>34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AA3" s="43" t="s">
        <v>86</v>
      </c>
      <c r="AB3" s="44"/>
      <c r="AC3" s="44"/>
      <c r="AD3" s="45"/>
      <c r="AE3" s="43" t="s">
        <v>36</v>
      </c>
      <c r="AF3" s="45"/>
      <c r="AG3" s="3" t="s">
        <v>35</v>
      </c>
    </row>
    <row r="4" spans="1:33" ht="15.5" x14ac:dyDescent="0.45">
      <c r="A4" s="47"/>
      <c r="B4" s="47"/>
      <c r="C4" s="47"/>
      <c r="F4" s="149" t="s">
        <v>69</v>
      </c>
      <c r="G4" s="149"/>
      <c r="H4" s="149"/>
      <c r="I4" s="242"/>
      <c r="J4" s="242"/>
      <c r="K4" s="242"/>
      <c r="L4" s="242"/>
      <c r="M4" s="242"/>
      <c r="N4" s="242"/>
      <c r="O4" s="242"/>
      <c r="P4" s="242"/>
      <c r="Q4" s="59">
        <v>2026</v>
      </c>
      <c r="R4" s="59"/>
      <c r="S4" s="4" t="s">
        <v>76</v>
      </c>
      <c r="T4" s="4"/>
      <c r="U4" s="4"/>
      <c r="V4" s="4"/>
      <c r="W4" s="4"/>
      <c r="AA4" s="43" t="s">
        <v>1</v>
      </c>
      <c r="AB4" s="44"/>
      <c r="AC4" s="44"/>
      <c r="AD4" s="45"/>
      <c r="AE4" s="239"/>
      <c r="AF4" s="240"/>
      <c r="AG4" s="32"/>
    </row>
    <row r="5" spans="1:33" ht="27" customHeight="1" x14ac:dyDescent="0.25">
      <c r="A5" s="238" t="s">
        <v>160</v>
      </c>
      <c r="B5" s="238"/>
      <c r="C5" s="238"/>
      <c r="D5" s="238"/>
      <c r="E5" s="238"/>
      <c r="F5" s="238"/>
      <c r="G5" s="238"/>
      <c r="H5" s="238"/>
      <c r="I5" s="238"/>
      <c r="J5" s="192" t="s">
        <v>2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AA5" s="43" t="s">
        <v>3</v>
      </c>
      <c r="AB5" s="44"/>
      <c r="AC5" s="44"/>
      <c r="AD5" s="45"/>
      <c r="AE5" s="239"/>
      <c r="AF5" s="240"/>
      <c r="AG5" s="32"/>
    </row>
    <row r="6" spans="1:33" ht="12.75" customHeight="1" x14ac:dyDescent="0.25">
      <c r="A6" s="237" t="s">
        <v>164</v>
      </c>
      <c r="B6" s="48"/>
      <c r="C6" s="48"/>
      <c r="N6" s="6"/>
    </row>
    <row r="7" spans="1:33" x14ac:dyDescent="0.25">
      <c r="A7" s="1" t="s">
        <v>103</v>
      </c>
      <c r="H7" s="7"/>
      <c r="I7" s="7"/>
      <c r="J7" s="7"/>
      <c r="K7" s="7"/>
      <c r="L7" s="7"/>
      <c r="M7" s="7"/>
      <c r="N7" s="7"/>
      <c r="O7" s="7"/>
      <c r="Q7" s="79" t="s">
        <v>8</v>
      </c>
      <c r="R7" s="80"/>
      <c r="S7" s="80"/>
      <c r="T7" s="80"/>
      <c r="U7" s="81"/>
      <c r="V7" s="79" t="s">
        <v>7</v>
      </c>
      <c r="W7" s="80"/>
      <c r="X7" s="80"/>
      <c r="Y7" s="80"/>
      <c r="Z7" s="81"/>
      <c r="AA7" s="79" t="s">
        <v>6</v>
      </c>
      <c r="AB7" s="80"/>
      <c r="AC7" s="80"/>
      <c r="AD7" s="81"/>
      <c r="AE7" s="79" t="s">
        <v>5</v>
      </c>
      <c r="AF7" s="80"/>
      <c r="AG7" s="81"/>
    </row>
    <row r="8" spans="1:33" x14ac:dyDescent="0.25">
      <c r="H8" s="7"/>
      <c r="I8" s="7"/>
      <c r="J8" s="7"/>
      <c r="K8" s="7"/>
      <c r="L8" s="7"/>
      <c r="M8" s="7"/>
      <c r="N8" s="7"/>
      <c r="O8" s="7"/>
      <c r="Q8" s="43"/>
      <c r="R8" s="44"/>
      <c r="S8" s="44"/>
      <c r="T8" s="44"/>
      <c r="U8" s="45"/>
      <c r="V8" s="43"/>
      <c r="W8" s="44"/>
      <c r="X8" s="44"/>
      <c r="Y8" s="44"/>
      <c r="Z8" s="45"/>
      <c r="AA8" s="43"/>
      <c r="AB8" s="44"/>
      <c r="AC8" s="44"/>
      <c r="AD8" s="45"/>
      <c r="AE8" s="43"/>
      <c r="AF8" s="44"/>
      <c r="AG8" s="45"/>
    </row>
    <row r="9" spans="1:33" ht="13" x14ac:dyDescent="0.3"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33" ht="12.75" customHeight="1" x14ac:dyDescent="0.25">
      <c r="A10" s="171" t="s">
        <v>50</v>
      </c>
      <c r="B10" s="183" t="s">
        <v>51</v>
      </c>
      <c r="C10" s="184"/>
      <c r="D10" s="184"/>
      <c r="E10" s="184"/>
      <c r="F10" s="185"/>
      <c r="G10" s="174" t="s">
        <v>49</v>
      </c>
      <c r="H10" s="175"/>
      <c r="I10" s="79" t="s">
        <v>38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43" t="s">
        <v>37</v>
      </c>
      <c r="Y10" s="44"/>
      <c r="Z10" s="44"/>
      <c r="AA10" s="44"/>
      <c r="AB10" s="44"/>
      <c r="AC10" s="44"/>
      <c r="AD10" s="44"/>
      <c r="AE10" s="44"/>
      <c r="AF10" s="45"/>
      <c r="AG10" s="129" t="s">
        <v>48</v>
      </c>
    </row>
    <row r="11" spans="1:33" ht="12.75" customHeight="1" x14ac:dyDescent="0.25">
      <c r="A11" s="172"/>
      <c r="B11" s="186"/>
      <c r="C11" s="187"/>
      <c r="D11" s="187"/>
      <c r="E11" s="187"/>
      <c r="F11" s="188"/>
      <c r="G11" s="176"/>
      <c r="H11" s="177"/>
      <c r="I11" s="132" t="s">
        <v>44</v>
      </c>
      <c r="J11" s="133"/>
      <c r="K11" s="133"/>
      <c r="L11" s="134"/>
      <c r="M11" s="79" t="s">
        <v>39</v>
      </c>
      <c r="N11" s="80"/>
      <c r="O11" s="80"/>
      <c r="P11" s="80"/>
      <c r="Q11" s="80"/>
      <c r="R11" s="80"/>
      <c r="S11" s="81"/>
      <c r="T11" s="79" t="s">
        <v>40</v>
      </c>
      <c r="U11" s="80"/>
      <c r="V11" s="80"/>
      <c r="W11" s="81"/>
      <c r="X11" s="132" t="s">
        <v>44</v>
      </c>
      <c r="Y11" s="133"/>
      <c r="Z11" s="134"/>
      <c r="AA11" s="50" t="s">
        <v>45</v>
      </c>
      <c r="AB11" s="52"/>
      <c r="AC11" s="141" t="s">
        <v>46</v>
      </c>
      <c r="AD11" s="142"/>
      <c r="AE11" s="132" t="s">
        <v>47</v>
      </c>
      <c r="AF11" s="134"/>
      <c r="AG11" s="130"/>
    </row>
    <row r="12" spans="1:33" ht="12.75" customHeight="1" x14ac:dyDescent="0.25">
      <c r="A12" s="172"/>
      <c r="B12" s="186"/>
      <c r="C12" s="187"/>
      <c r="D12" s="187"/>
      <c r="E12" s="187"/>
      <c r="F12" s="188"/>
      <c r="G12" s="176"/>
      <c r="H12" s="177"/>
      <c r="I12" s="135"/>
      <c r="J12" s="136"/>
      <c r="K12" s="136"/>
      <c r="L12" s="137"/>
      <c r="M12" s="50" t="s">
        <v>41</v>
      </c>
      <c r="N12" s="51"/>
      <c r="O12" s="52"/>
      <c r="P12" s="65" t="s">
        <v>42</v>
      </c>
      <c r="Q12" s="66"/>
      <c r="R12" s="66"/>
      <c r="S12" s="67"/>
      <c r="T12" s="50" t="s">
        <v>41</v>
      </c>
      <c r="U12" s="52"/>
      <c r="V12" s="50" t="s">
        <v>43</v>
      </c>
      <c r="W12" s="52"/>
      <c r="X12" s="135"/>
      <c r="Y12" s="136"/>
      <c r="Z12" s="137"/>
      <c r="AA12" s="147"/>
      <c r="AB12" s="148"/>
      <c r="AC12" s="143"/>
      <c r="AD12" s="144"/>
      <c r="AE12" s="135"/>
      <c r="AF12" s="137"/>
      <c r="AG12" s="130"/>
    </row>
    <row r="13" spans="1:33" x14ac:dyDescent="0.25">
      <c r="A13" s="173"/>
      <c r="B13" s="189"/>
      <c r="C13" s="190"/>
      <c r="D13" s="190"/>
      <c r="E13" s="190"/>
      <c r="F13" s="191"/>
      <c r="G13" s="178"/>
      <c r="H13" s="179"/>
      <c r="I13" s="138"/>
      <c r="J13" s="139"/>
      <c r="K13" s="139"/>
      <c r="L13" s="140"/>
      <c r="M13" s="53"/>
      <c r="N13" s="54"/>
      <c r="O13" s="55"/>
      <c r="P13" s="180"/>
      <c r="Q13" s="181"/>
      <c r="R13" s="181"/>
      <c r="S13" s="182"/>
      <c r="T13" s="53"/>
      <c r="U13" s="55"/>
      <c r="V13" s="53"/>
      <c r="W13" s="55"/>
      <c r="X13" s="138"/>
      <c r="Y13" s="139"/>
      <c r="Z13" s="140"/>
      <c r="AA13" s="53"/>
      <c r="AB13" s="55"/>
      <c r="AC13" s="145"/>
      <c r="AD13" s="146"/>
      <c r="AE13" s="138"/>
      <c r="AF13" s="140"/>
      <c r="AG13" s="131"/>
    </row>
    <row r="14" spans="1:33" ht="37.5" customHeight="1" x14ac:dyDescent="0.25">
      <c r="A14" s="28"/>
      <c r="B14" s="221"/>
      <c r="C14" s="222"/>
      <c r="D14" s="222"/>
      <c r="E14" s="222"/>
      <c r="F14" s="223"/>
      <c r="G14" s="224"/>
      <c r="H14" s="225"/>
      <c r="I14" s="224"/>
      <c r="J14" s="226"/>
      <c r="K14" s="226"/>
      <c r="L14" s="225"/>
      <c r="M14" s="224"/>
      <c r="N14" s="226"/>
      <c r="O14" s="225"/>
      <c r="P14" s="227"/>
      <c r="Q14" s="228"/>
      <c r="R14" s="228"/>
      <c r="S14" s="229"/>
      <c r="T14" s="65"/>
      <c r="U14" s="67"/>
      <c r="V14" s="127"/>
      <c r="W14" s="128"/>
      <c r="X14" s="65"/>
      <c r="Y14" s="66"/>
      <c r="Z14" s="67"/>
      <c r="AA14" s="65"/>
      <c r="AB14" s="67"/>
      <c r="AC14" s="65"/>
      <c r="AD14" s="67"/>
      <c r="AE14" s="127"/>
      <c r="AF14" s="128"/>
      <c r="AG14" s="25"/>
    </row>
    <row r="15" spans="1:33" ht="22.5" customHeight="1" x14ac:dyDescent="0.25">
      <c r="A15" s="28"/>
      <c r="B15" s="219"/>
      <c r="C15" s="219"/>
      <c r="D15" s="219"/>
      <c r="E15" s="219"/>
      <c r="F15" s="219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127"/>
      <c r="U15" s="128"/>
      <c r="V15" s="127"/>
      <c r="W15" s="128"/>
      <c r="X15" s="65"/>
      <c r="Y15" s="66"/>
      <c r="Z15" s="67"/>
      <c r="AA15" s="127"/>
      <c r="AB15" s="128"/>
      <c r="AC15" s="65"/>
      <c r="AD15" s="67"/>
      <c r="AE15" s="127"/>
      <c r="AF15" s="128"/>
      <c r="AG15" s="24"/>
    </row>
    <row r="16" spans="1:33" ht="32.25" customHeight="1" x14ac:dyDescent="0.25">
      <c r="A16" s="27"/>
      <c r="B16" s="219"/>
      <c r="C16" s="219"/>
      <c r="D16" s="219"/>
      <c r="E16" s="219"/>
      <c r="F16" s="219"/>
      <c r="G16" s="216"/>
      <c r="H16" s="217"/>
      <c r="I16" s="216"/>
      <c r="J16" s="218"/>
      <c r="K16" s="218"/>
      <c r="L16" s="217"/>
      <c r="M16" s="216"/>
      <c r="N16" s="218"/>
      <c r="O16" s="217"/>
      <c r="P16" s="216"/>
      <c r="Q16" s="218"/>
      <c r="R16" s="218"/>
      <c r="S16" s="217"/>
      <c r="T16" s="127"/>
      <c r="U16" s="128"/>
      <c r="V16" s="127"/>
      <c r="W16" s="128"/>
      <c r="X16" s="65"/>
      <c r="Y16" s="66"/>
      <c r="Z16" s="67"/>
      <c r="AA16" s="127"/>
      <c r="AB16" s="128"/>
      <c r="AC16" s="65"/>
      <c r="AD16" s="67"/>
      <c r="AE16" s="127"/>
      <c r="AF16" s="128"/>
      <c r="AG16" s="24"/>
    </row>
    <row r="17" spans="1:33" ht="32.25" customHeight="1" x14ac:dyDescent="0.25">
      <c r="A17" s="27"/>
      <c r="B17" s="219"/>
      <c r="C17" s="219"/>
      <c r="D17" s="219"/>
      <c r="E17" s="219"/>
      <c r="F17" s="219"/>
      <c r="G17" s="216"/>
      <c r="H17" s="217"/>
      <c r="I17" s="216"/>
      <c r="J17" s="218"/>
      <c r="K17" s="218"/>
      <c r="L17" s="217"/>
      <c r="M17" s="216"/>
      <c r="N17" s="218"/>
      <c r="O17" s="217"/>
      <c r="P17" s="216"/>
      <c r="Q17" s="218"/>
      <c r="R17" s="218"/>
      <c r="S17" s="217"/>
      <c r="T17" s="127"/>
      <c r="U17" s="128"/>
      <c r="V17" s="127"/>
      <c r="W17" s="128"/>
      <c r="X17" s="65"/>
      <c r="Y17" s="66"/>
      <c r="Z17" s="67"/>
      <c r="AA17" s="127"/>
      <c r="AB17" s="128"/>
      <c r="AC17" s="65"/>
      <c r="AD17" s="67"/>
      <c r="AE17" s="127"/>
      <c r="AF17" s="128"/>
      <c r="AG17" s="24"/>
    </row>
    <row r="18" spans="1:33" ht="23.25" customHeight="1" x14ac:dyDescent="0.25">
      <c r="A18" s="27"/>
      <c r="B18" s="213"/>
      <c r="C18" s="214"/>
      <c r="D18" s="214"/>
      <c r="E18" s="214"/>
      <c r="F18" s="215"/>
      <c r="G18" s="216"/>
      <c r="H18" s="217"/>
      <c r="I18" s="216"/>
      <c r="J18" s="218"/>
      <c r="K18" s="218"/>
      <c r="L18" s="217"/>
      <c r="M18" s="216"/>
      <c r="N18" s="218"/>
      <c r="O18" s="217"/>
      <c r="P18" s="216"/>
      <c r="Q18" s="218"/>
      <c r="R18" s="218"/>
      <c r="S18" s="217"/>
      <c r="T18" s="127"/>
      <c r="U18" s="128"/>
      <c r="V18" s="127"/>
      <c r="W18" s="128"/>
      <c r="X18" s="65"/>
      <c r="Y18" s="66"/>
      <c r="Z18" s="67"/>
      <c r="AA18" s="127"/>
      <c r="AB18" s="128"/>
      <c r="AC18" s="65"/>
      <c r="AD18" s="67"/>
      <c r="AE18" s="127"/>
      <c r="AF18" s="128"/>
      <c r="AG18" s="24"/>
    </row>
    <row r="19" spans="1:33" ht="32.25" customHeight="1" x14ac:dyDescent="0.25">
      <c r="A19" s="27"/>
      <c r="B19" s="213"/>
      <c r="C19" s="214"/>
      <c r="D19" s="214"/>
      <c r="E19" s="214"/>
      <c r="F19" s="215"/>
      <c r="G19" s="216"/>
      <c r="H19" s="217"/>
      <c r="I19" s="216"/>
      <c r="J19" s="218"/>
      <c r="K19" s="218"/>
      <c r="L19" s="217"/>
      <c r="M19" s="216"/>
      <c r="N19" s="218"/>
      <c r="O19" s="217"/>
      <c r="P19" s="216"/>
      <c r="Q19" s="218"/>
      <c r="R19" s="218"/>
      <c r="S19" s="217"/>
      <c r="T19" s="127"/>
      <c r="U19" s="128"/>
      <c r="V19" s="127"/>
      <c r="W19" s="128"/>
      <c r="X19" s="65"/>
      <c r="Y19" s="66"/>
      <c r="Z19" s="67"/>
      <c r="AA19" s="127"/>
      <c r="AB19" s="128"/>
      <c r="AC19" s="65"/>
      <c r="AD19" s="67"/>
      <c r="AE19" s="127"/>
      <c r="AF19" s="128"/>
      <c r="AG19" s="24"/>
    </row>
    <row r="20" spans="1:33" ht="31.5" customHeight="1" x14ac:dyDescent="0.25">
      <c r="A20" s="27"/>
      <c r="B20" s="213"/>
      <c r="C20" s="214"/>
      <c r="D20" s="214"/>
      <c r="E20" s="214"/>
      <c r="F20" s="215"/>
      <c r="G20" s="216"/>
      <c r="H20" s="217"/>
      <c r="I20" s="216"/>
      <c r="J20" s="218"/>
      <c r="K20" s="218"/>
      <c r="L20" s="217"/>
      <c r="M20" s="216"/>
      <c r="N20" s="218"/>
      <c r="O20" s="217"/>
      <c r="P20" s="216"/>
      <c r="Q20" s="218"/>
      <c r="R20" s="218"/>
      <c r="S20" s="217"/>
      <c r="T20" s="127"/>
      <c r="U20" s="128"/>
      <c r="V20" s="127"/>
      <c r="W20" s="128"/>
      <c r="X20" s="65"/>
      <c r="Y20" s="66"/>
      <c r="Z20" s="67"/>
      <c r="AA20" s="127"/>
      <c r="AB20" s="128"/>
      <c r="AC20" s="65"/>
      <c r="AD20" s="67"/>
      <c r="AE20" s="127"/>
      <c r="AF20" s="128"/>
      <c r="AG20" s="24"/>
    </row>
    <row r="21" spans="1:33" ht="33" customHeight="1" x14ac:dyDescent="0.25">
      <c r="A21" s="27"/>
      <c r="B21" s="213"/>
      <c r="C21" s="214"/>
      <c r="D21" s="214"/>
      <c r="E21" s="214"/>
      <c r="F21" s="215"/>
      <c r="G21" s="216"/>
      <c r="H21" s="217"/>
      <c r="I21" s="216"/>
      <c r="J21" s="218"/>
      <c r="K21" s="218"/>
      <c r="L21" s="217"/>
      <c r="M21" s="216"/>
      <c r="N21" s="218"/>
      <c r="O21" s="217"/>
      <c r="P21" s="216"/>
      <c r="Q21" s="218"/>
      <c r="R21" s="218"/>
      <c r="S21" s="217"/>
      <c r="T21" s="127"/>
      <c r="U21" s="128"/>
      <c r="V21" s="127"/>
      <c r="W21" s="128"/>
      <c r="X21" s="65"/>
      <c r="Y21" s="66"/>
      <c r="Z21" s="67"/>
      <c r="AA21" s="127"/>
      <c r="AB21" s="128"/>
      <c r="AC21" s="65"/>
      <c r="AD21" s="67"/>
      <c r="AE21" s="127"/>
      <c r="AF21" s="128"/>
      <c r="AG21" s="24"/>
    </row>
    <row r="22" spans="1:33" ht="24.75" customHeight="1" x14ac:dyDescent="0.25">
      <c r="A22" s="27"/>
      <c r="B22" s="213"/>
      <c r="C22" s="214"/>
      <c r="D22" s="214"/>
      <c r="E22" s="214"/>
      <c r="F22" s="215"/>
      <c r="G22" s="216"/>
      <c r="H22" s="217"/>
      <c r="I22" s="216"/>
      <c r="J22" s="218"/>
      <c r="K22" s="218"/>
      <c r="L22" s="217"/>
      <c r="M22" s="216"/>
      <c r="N22" s="218"/>
      <c r="O22" s="217"/>
      <c r="P22" s="216"/>
      <c r="Q22" s="218"/>
      <c r="R22" s="218"/>
      <c r="S22" s="217"/>
      <c r="T22" s="127"/>
      <c r="U22" s="128"/>
      <c r="V22" s="127"/>
      <c r="W22" s="128"/>
      <c r="X22" s="65"/>
      <c r="Y22" s="66"/>
      <c r="Z22" s="67"/>
      <c r="AA22" s="127"/>
      <c r="AB22" s="128"/>
      <c r="AC22" s="65"/>
      <c r="AD22" s="67"/>
      <c r="AE22" s="127"/>
      <c r="AF22" s="128"/>
      <c r="AG22" s="24"/>
    </row>
    <row r="23" spans="1:33" ht="27" customHeight="1" x14ac:dyDescent="0.25">
      <c r="A23" s="27"/>
      <c r="B23" s="213"/>
      <c r="C23" s="214"/>
      <c r="D23" s="214"/>
      <c r="E23" s="214"/>
      <c r="F23" s="215"/>
      <c r="G23" s="216"/>
      <c r="H23" s="217"/>
      <c r="I23" s="216"/>
      <c r="J23" s="218"/>
      <c r="K23" s="218"/>
      <c r="L23" s="217"/>
      <c r="M23" s="216"/>
      <c r="N23" s="218"/>
      <c r="O23" s="217"/>
      <c r="P23" s="216"/>
      <c r="Q23" s="218"/>
      <c r="R23" s="218"/>
      <c r="S23" s="217"/>
      <c r="T23" s="127"/>
      <c r="U23" s="128"/>
      <c r="V23" s="127"/>
      <c r="W23" s="128"/>
      <c r="X23" s="65"/>
      <c r="Y23" s="66"/>
      <c r="Z23" s="67"/>
      <c r="AA23" s="127"/>
      <c r="AB23" s="128"/>
      <c r="AC23" s="65"/>
      <c r="AD23" s="67"/>
      <c r="AE23" s="127"/>
      <c r="AF23" s="128"/>
      <c r="AG23" s="24"/>
    </row>
    <row r="24" spans="1:33" ht="32.25" customHeight="1" x14ac:dyDescent="0.25">
      <c r="A24" s="27"/>
      <c r="B24" s="213"/>
      <c r="C24" s="214"/>
      <c r="D24" s="214"/>
      <c r="E24" s="214"/>
      <c r="F24" s="215"/>
      <c r="G24" s="216"/>
      <c r="H24" s="217"/>
      <c r="I24" s="216"/>
      <c r="J24" s="218"/>
      <c r="K24" s="218"/>
      <c r="L24" s="217"/>
      <c r="M24" s="216"/>
      <c r="N24" s="218"/>
      <c r="O24" s="217"/>
      <c r="P24" s="216"/>
      <c r="Q24" s="218"/>
      <c r="R24" s="218"/>
      <c r="S24" s="217"/>
      <c r="T24" s="127"/>
      <c r="U24" s="128"/>
      <c r="V24" s="127"/>
      <c r="W24" s="128"/>
      <c r="X24" s="65"/>
      <c r="Y24" s="66"/>
      <c r="Z24" s="67"/>
      <c r="AA24" s="127"/>
      <c r="AB24" s="128"/>
      <c r="AC24" s="65"/>
      <c r="AD24" s="67"/>
      <c r="AE24" s="127"/>
      <c r="AF24" s="128"/>
      <c r="AG24" s="24"/>
    </row>
    <row r="25" spans="1:33" ht="25.5" customHeight="1" x14ac:dyDescent="0.25">
      <c r="A25" s="27"/>
      <c r="B25" s="213"/>
      <c r="C25" s="214"/>
      <c r="D25" s="214"/>
      <c r="E25" s="214"/>
      <c r="F25" s="215"/>
      <c r="G25" s="216"/>
      <c r="H25" s="217"/>
      <c r="I25" s="216"/>
      <c r="J25" s="218"/>
      <c r="K25" s="218"/>
      <c r="L25" s="217"/>
      <c r="M25" s="216"/>
      <c r="N25" s="218"/>
      <c r="O25" s="217"/>
      <c r="P25" s="216"/>
      <c r="Q25" s="218"/>
      <c r="R25" s="218"/>
      <c r="S25" s="217"/>
      <c r="T25" s="127"/>
      <c r="U25" s="128"/>
      <c r="V25" s="127"/>
      <c r="W25" s="128"/>
      <c r="X25" s="65"/>
      <c r="Y25" s="66"/>
      <c r="Z25" s="67"/>
      <c r="AA25" s="127"/>
      <c r="AB25" s="128"/>
      <c r="AC25" s="65"/>
      <c r="AD25" s="67"/>
      <c r="AE25" s="127"/>
      <c r="AF25" s="128"/>
      <c r="AG25" s="24"/>
    </row>
    <row r="26" spans="1:33" ht="12.75" customHeight="1" x14ac:dyDescent="0.25">
      <c r="A26" s="27"/>
      <c r="B26" s="213"/>
      <c r="C26" s="214"/>
      <c r="D26" s="214"/>
      <c r="E26" s="214"/>
      <c r="F26" s="215"/>
      <c r="G26" s="216"/>
      <c r="H26" s="217"/>
      <c r="I26" s="216"/>
      <c r="J26" s="218"/>
      <c r="K26" s="218"/>
      <c r="L26" s="217"/>
      <c r="M26" s="216"/>
      <c r="N26" s="218"/>
      <c r="O26" s="217"/>
      <c r="P26" s="216"/>
      <c r="Q26" s="218"/>
      <c r="R26" s="218"/>
      <c r="S26" s="217"/>
      <c r="T26" s="127"/>
      <c r="U26" s="128"/>
      <c r="V26" s="127"/>
      <c r="W26" s="128"/>
      <c r="X26" s="65"/>
      <c r="Y26" s="66"/>
      <c r="Z26" s="67"/>
      <c r="AA26" s="127"/>
      <c r="AB26" s="128"/>
      <c r="AC26" s="65"/>
      <c r="AD26" s="67"/>
      <c r="AE26" s="127"/>
      <c r="AF26" s="128"/>
      <c r="AG26" s="24"/>
    </row>
    <row r="27" spans="1:33" ht="12.75" customHeight="1" x14ac:dyDescent="0.25">
      <c r="A27" s="27"/>
      <c r="B27" s="213"/>
      <c r="C27" s="214"/>
      <c r="D27" s="214"/>
      <c r="E27" s="214"/>
      <c r="F27" s="215"/>
      <c r="G27" s="216"/>
      <c r="H27" s="217"/>
      <c r="I27" s="216"/>
      <c r="J27" s="218"/>
      <c r="K27" s="218"/>
      <c r="L27" s="217"/>
      <c r="M27" s="216"/>
      <c r="N27" s="218"/>
      <c r="O27" s="217"/>
      <c r="P27" s="216"/>
      <c r="Q27" s="218"/>
      <c r="R27" s="218"/>
      <c r="S27" s="217"/>
      <c r="T27" s="127"/>
      <c r="U27" s="128"/>
      <c r="V27" s="127"/>
      <c r="W27" s="128"/>
      <c r="X27" s="65"/>
      <c r="Y27" s="66"/>
      <c r="Z27" s="67"/>
      <c r="AA27" s="127"/>
      <c r="AB27" s="128"/>
      <c r="AC27" s="65"/>
      <c r="AD27" s="67"/>
      <c r="AE27" s="127"/>
      <c r="AF27" s="128"/>
      <c r="AG27" s="24"/>
    </row>
    <row r="28" spans="1:33" ht="12.75" customHeight="1" x14ac:dyDescent="0.25">
      <c r="A28" s="27"/>
      <c r="B28" s="213"/>
      <c r="C28" s="214"/>
      <c r="D28" s="214"/>
      <c r="E28" s="214"/>
      <c r="F28" s="215"/>
      <c r="G28" s="216"/>
      <c r="H28" s="217"/>
      <c r="I28" s="216"/>
      <c r="J28" s="218"/>
      <c r="K28" s="218"/>
      <c r="L28" s="217"/>
      <c r="M28" s="216"/>
      <c r="N28" s="218"/>
      <c r="O28" s="217"/>
      <c r="P28" s="216"/>
      <c r="Q28" s="218"/>
      <c r="R28" s="218"/>
      <c r="S28" s="217"/>
      <c r="T28" s="127"/>
      <c r="U28" s="128"/>
      <c r="V28" s="127"/>
      <c r="W28" s="128"/>
      <c r="X28" s="65"/>
      <c r="Y28" s="66"/>
      <c r="Z28" s="67"/>
      <c r="AA28" s="127"/>
      <c r="AB28" s="128"/>
      <c r="AC28" s="65"/>
      <c r="AD28" s="67"/>
      <c r="AE28" s="127"/>
      <c r="AF28" s="128"/>
      <c r="AG28" s="24"/>
    </row>
    <row r="29" spans="1:33" ht="12.75" customHeight="1" x14ac:dyDescent="0.25">
      <c r="A29" s="27"/>
      <c r="B29" s="213"/>
      <c r="C29" s="214"/>
      <c r="D29" s="214"/>
      <c r="E29" s="214"/>
      <c r="F29" s="215"/>
      <c r="G29" s="216"/>
      <c r="H29" s="217"/>
      <c r="I29" s="216"/>
      <c r="J29" s="218"/>
      <c r="K29" s="218"/>
      <c r="L29" s="217"/>
      <c r="M29" s="216"/>
      <c r="N29" s="218"/>
      <c r="O29" s="217"/>
      <c r="P29" s="216"/>
      <c r="Q29" s="218"/>
      <c r="R29" s="218"/>
      <c r="S29" s="217"/>
      <c r="T29" s="127"/>
      <c r="U29" s="128"/>
      <c r="V29" s="127"/>
      <c r="W29" s="128"/>
      <c r="X29" s="65"/>
      <c r="Y29" s="66"/>
      <c r="Z29" s="67"/>
      <c r="AA29" s="127"/>
      <c r="AB29" s="128"/>
      <c r="AC29" s="65"/>
      <c r="AD29" s="67"/>
      <c r="AE29" s="127"/>
      <c r="AF29" s="128"/>
      <c r="AG29" s="24"/>
    </row>
    <row r="30" spans="1:33" ht="12.75" customHeight="1" x14ac:dyDescent="0.25">
      <c r="A30" s="27"/>
      <c r="B30" s="213"/>
      <c r="C30" s="214"/>
      <c r="D30" s="214"/>
      <c r="E30" s="214"/>
      <c r="F30" s="215"/>
      <c r="G30" s="216"/>
      <c r="H30" s="217"/>
      <c r="I30" s="216"/>
      <c r="J30" s="218"/>
      <c r="K30" s="218"/>
      <c r="L30" s="217"/>
      <c r="M30" s="216"/>
      <c r="N30" s="218"/>
      <c r="O30" s="217"/>
      <c r="P30" s="216"/>
      <c r="Q30" s="218"/>
      <c r="R30" s="218"/>
      <c r="S30" s="217"/>
      <c r="T30" s="127"/>
      <c r="U30" s="128"/>
      <c r="V30" s="127"/>
      <c r="W30" s="128"/>
      <c r="X30" s="65"/>
      <c r="Y30" s="66"/>
      <c r="Z30" s="67"/>
      <c r="AA30" s="127"/>
      <c r="AB30" s="128"/>
      <c r="AC30" s="65"/>
      <c r="AD30" s="67"/>
      <c r="AE30" s="127"/>
      <c r="AF30" s="128"/>
      <c r="AG30" s="24"/>
    </row>
    <row r="31" spans="1:33" x14ac:dyDescent="0.25">
      <c r="A31" s="29"/>
      <c r="B31" s="207"/>
      <c r="C31" s="208"/>
      <c r="D31" s="208"/>
      <c r="E31" s="208"/>
      <c r="F31" s="209"/>
      <c r="G31" s="210"/>
      <c r="H31" s="211"/>
      <c r="I31" s="210"/>
      <c r="J31" s="212"/>
      <c r="K31" s="212"/>
      <c r="L31" s="211"/>
      <c r="M31" s="210"/>
      <c r="N31" s="212"/>
      <c r="O31" s="211"/>
      <c r="P31" s="210"/>
      <c r="Q31" s="212"/>
      <c r="R31" s="212"/>
      <c r="S31" s="211"/>
      <c r="T31" s="79"/>
      <c r="U31" s="81"/>
      <c r="V31" s="124"/>
      <c r="W31" s="125"/>
      <c r="X31" s="79"/>
      <c r="Y31" s="80"/>
      <c r="Z31" s="81"/>
      <c r="AA31" s="79"/>
      <c r="AB31" s="81"/>
      <c r="AC31" s="79"/>
      <c r="AD31" s="81"/>
      <c r="AE31" s="124"/>
      <c r="AF31" s="125"/>
      <c r="AG31" s="3"/>
    </row>
    <row r="32" spans="1:33" ht="13" x14ac:dyDescent="0.3">
      <c r="AB32" s="119" t="s">
        <v>52</v>
      </c>
      <c r="AC32" s="119"/>
      <c r="AD32" s="120"/>
      <c r="AE32" s="117">
        <f>SUM(AE14:AF31)</f>
        <v>0</v>
      </c>
      <c r="AF32" s="118"/>
    </row>
    <row r="34" spans="1:33" x14ac:dyDescent="0.25">
      <c r="B34" s="46" t="s">
        <v>77</v>
      </c>
      <c r="C34" s="46"/>
      <c r="D34" s="46"/>
      <c r="E34" s="46"/>
      <c r="F34" s="46"/>
      <c r="G34" s="47">
        <f>I4</f>
        <v>0</v>
      </c>
      <c r="H34" s="47"/>
      <c r="I34" s="47"/>
      <c r="J34" s="47"/>
      <c r="K34" s="47">
        <f>Q4</f>
        <v>2026</v>
      </c>
      <c r="L34" s="47"/>
      <c r="M34" s="9" t="s">
        <v>76</v>
      </c>
      <c r="T34" s="46" t="s">
        <v>78</v>
      </c>
      <c r="U34" s="46"/>
      <c r="V34" s="46"/>
      <c r="W34" s="46"/>
      <c r="X34" s="46"/>
      <c r="Y34" s="46"/>
      <c r="Z34" s="46"/>
      <c r="AA34" s="46"/>
      <c r="AB34" s="46"/>
      <c r="AC34" s="33">
        <f>I4</f>
        <v>0</v>
      </c>
      <c r="AD34" s="9">
        <f>Q4</f>
        <v>2026</v>
      </c>
      <c r="AE34" s="9" t="s">
        <v>76</v>
      </c>
      <c r="AF34" s="9"/>
    </row>
    <row r="35" spans="1:33" x14ac:dyDescent="0.25">
      <c r="D35" s="46" t="s">
        <v>67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 spans="1:33" x14ac:dyDescent="0.25">
      <c r="B36" s="46" t="s">
        <v>82</v>
      </c>
      <c r="C36" s="46"/>
      <c r="D36" s="46"/>
      <c r="E36" s="46"/>
      <c r="F36" s="46"/>
      <c r="G36" s="47">
        <f>I4</f>
        <v>0</v>
      </c>
      <c r="H36" s="47"/>
      <c r="I36" s="47"/>
      <c r="J36" s="47"/>
      <c r="K36" s="47">
        <f>Q4</f>
        <v>2026</v>
      </c>
      <c r="L36" s="47"/>
      <c r="M36" s="9" t="s">
        <v>76</v>
      </c>
      <c r="T36" s="47" t="s">
        <v>80</v>
      </c>
      <c r="U36" s="47"/>
      <c r="V36" s="47"/>
      <c r="W36" s="47"/>
      <c r="X36" s="47"/>
      <c r="Y36" s="47"/>
      <c r="Z36" s="47"/>
      <c r="AA36" s="47"/>
      <c r="AB36" s="47"/>
      <c r="AC36" s="33">
        <f>I4</f>
        <v>0</v>
      </c>
      <c r="AD36" s="9">
        <f>Q4</f>
        <v>2026</v>
      </c>
      <c r="AE36" s="9" t="s">
        <v>76</v>
      </c>
      <c r="AF36" s="9"/>
    </row>
    <row r="37" spans="1:33" x14ac:dyDescent="0.25">
      <c r="B37" s="31"/>
      <c r="C37" s="31"/>
      <c r="D37" s="31"/>
      <c r="E37" s="31"/>
      <c r="F37" s="31"/>
      <c r="G37" s="30"/>
      <c r="H37" s="30"/>
      <c r="I37" s="30"/>
      <c r="J37" s="30"/>
      <c r="K37" s="30"/>
      <c r="L37" s="30"/>
      <c r="M37" s="9"/>
      <c r="T37" s="30"/>
      <c r="U37" s="30"/>
      <c r="V37" s="30"/>
      <c r="W37" s="30"/>
      <c r="X37" s="30"/>
      <c r="Y37" s="30"/>
      <c r="Z37" s="30"/>
      <c r="AA37" s="30"/>
      <c r="AB37" s="30"/>
      <c r="AC37" s="9"/>
      <c r="AD37" s="9"/>
      <c r="AE37" s="9"/>
      <c r="AF37" s="9"/>
    </row>
    <row r="38" spans="1:33" x14ac:dyDescent="0.25">
      <c r="B38" s="47" t="str">
        <f>ИТОГО!B38</f>
        <v xml:space="preserve">Нормы, расценки и сумма заработной платы проверил экономист: Яцевич Н. Г.  ____________________                    ________________________ " _____ " 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9">
        <f>Q4</f>
        <v>2026</v>
      </c>
      <c r="AG38" s="1" t="s">
        <v>76</v>
      </c>
    </row>
    <row r="40" spans="1:33" x14ac:dyDescent="0.25">
      <c r="B40" s="46" t="s">
        <v>137</v>
      </c>
      <c r="C40" s="46"/>
      <c r="D40" s="46"/>
      <c r="E40" s="46"/>
      <c r="F40" s="46"/>
      <c r="G40" s="46"/>
      <c r="H40" s="46"/>
    </row>
    <row r="42" spans="1:33" ht="13" x14ac:dyDescent="0.3">
      <c r="D42" s="60" t="s">
        <v>70</v>
      </c>
      <c r="E42" s="60"/>
      <c r="F42" s="60"/>
      <c r="G42" s="60"/>
      <c r="H42" s="60"/>
      <c r="I42" s="60"/>
      <c r="J42" s="61">
        <f>I4</f>
        <v>0</v>
      </c>
      <c r="K42" s="61"/>
      <c r="L42" s="61"/>
      <c r="M42" s="61"/>
      <c r="N42" s="61"/>
      <c r="O42" s="61"/>
      <c r="P42" s="62">
        <f>Q4</f>
        <v>2026</v>
      </c>
      <c r="Q42" s="62"/>
      <c r="R42" s="62"/>
      <c r="S42" s="62"/>
    </row>
    <row r="43" spans="1:33" ht="12.75" customHeight="1" x14ac:dyDescent="0.25">
      <c r="A43" s="160" t="s">
        <v>27</v>
      </c>
      <c r="B43" s="110" t="s">
        <v>26</v>
      </c>
      <c r="C43" s="164" t="s">
        <v>25</v>
      </c>
      <c r="D43" s="43" t="s">
        <v>9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5"/>
      <c r="T43" s="43" t="s">
        <v>10</v>
      </c>
      <c r="U43" s="44"/>
      <c r="V43" s="44"/>
      <c r="W43" s="44"/>
      <c r="X43" s="45"/>
      <c r="Y43" s="43" t="s">
        <v>11</v>
      </c>
      <c r="Z43" s="44"/>
      <c r="AA43" s="45"/>
      <c r="AB43" s="43" t="s">
        <v>12</v>
      </c>
      <c r="AC43" s="44"/>
      <c r="AD43" s="44"/>
      <c r="AE43" s="44"/>
      <c r="AF43" s="44"/>
      <c r="AG43" s="45"/>
    </row>
    <row r="44" spans="1:33" ht="18" customHeight="1" x14ac:dyDescent="0.25">
      <c r="A44" s="166"/>
      <c r="B44" s="111"/>
      <c r="C44" s="167"/>
      <c r="D44" s="10">
        <v>1</v>
      </c>
      <c r="E44" s="10">
        <v>2</v>
      </c>
      <c r="F44" s="10">
        <v>3</v>
      </c>
      <c r="G44" s="11">
        <v>4</v>
      </c>
      <c r="H44" s="10">
        <v>5</v>
      </c>
      <c r="I44" s="10">
        <v>6</v>
      </c>
      <c r="J44" s="10">
        <v>7</v>
      </c>
      <c r="K44" s="10">
        <v>8</v>
      </c>
      <c r="L44" s="10">
        <v>9</v>
      </c>
      <c r="M44" s="10">
        <v>10</v>
      </c>
      <c r="N44" s="10">
        <v>11</v>
      </c>
      <c r="O44" s="11">
        <v>12</v>
      </c>
      <c r="P44" s="10">
        <v>13</v>
      </c>
      <c r="Q44" s="10">
        <v>14</v>
      </c>
      <c r="R44" s="10">
        <v>15</v>
      </c>
      <c r="S44" s="8" t="s">
        <v>13</v>
      </c>
      <c r="T44" s="157" t="s">
        <v>14</v>
      </c>
      <c r="U44" s="158"/>
      <c r="V44" s="159"/>
      <c r="W44" s="160" t="s">
        <v>18</v>
      </c>
      <c r="X44" s="153" t="s">
        <v>19</v>
      </c>
      <c r="Y44" s="193" t="s">
        <v>15</v>
      </c>
      <c r="Z44" s="162" t="s">
        <v>20</v>
      </c>
      <c r="AA44" s="164" t="s">
        <v>19</v>
      </c>
      <c r="AB44" s="43" t="s">
        <v>21</v>
      </c>
      <c r="AC44" s="44"/>
      <c r="AD44" s="44"/>
      <c r="AE44" s="45"/>
      <c r="AF44" s="202" t="s">
        <v>23</v>
      </c>
      <c r="AG44" s="200" t="s">
        <v>24</v>
      </c>
    </row>
    <row r="45" spans="1:33" ht="18" customHeight="1" x14ac:dyDescent="0.25">
      <c r="A45" s="161"/>
      <c r="B45" s="112"/>
      <c r="C45" s="165"/>
      <c r="D45" s="10">
        <v>16</v>
      </c>
      <c r="E45" s="10">
        <v>17</v>
      </c>
      <c r="F45" s="10">
        <v>18</v>
      </c>
      <c r="G45" s="10">
        <v>19</v>
      </c>
      <c r="H45" s="10">
        <v>20</v>
      </c>
      <c r="I45" s="10">
        <v>21</v>
      </c>
      <c r="J45" s="10">
        <v>22</v>
      </c>
      <c r="K45" s="10">
        <v>23</v>
      </c>
      <c r="L45" s="10">
        <v>24</v>
      </c>
      <c r="M45" s="10">
        <v>25</v>
      </c>
      <c r="N45" s="10">
        <v>26</v>
      </c>
      <c r="O45" s="10">
        <v>27</v>
      </c>
      <c r="P45" s="10">
        <v>28</v>
      </c>
      <c r="Q45" s="10">
        <v>29</v>
      </c>
      <c r="R45" s="10">
        <v>30</v>
      </c>
      <c r="S45" s="10">
        <v>31</v>
      </c>
      <c r="T45" s="12" t="s">
        <v>15</v>
      </c>
      <c r="U45" s="13" t="s">
        <v>16</v>
      </c>
      <c r="V45" s="13" t="s">
        <v>17</v>
      </c>
      <c r="W45" s="161"/>
      <c r="X45" s="154"/>
      <c r="Y45" s="194"/>
      <c r="Z45" s="163"/>
      <c r="AA45" s="165"/>
      <c r="AB45" s="14" t="s">
        <v>15</v>
      </c>
      <c r="AC45" s="12" t="s">
        <v>22</v>
      </c>
      <c r="AD45" s="12" t="s">
        <v>17</v>
      </c>
      <c r="AE45" s="12" t="s">
        <v>18</v>
      </c>
      <c r="AF45" s="203"/>
      <c r="AG45" s="201"/>
    </row>
    <row r="46" spans="1:33" x14ac:dyDescent="0.25">
      <c r="A46" s="57">
        <v>1</v>
      </c>
      <c r="B46" s="235"/>
      <c r="C46" s="23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69">
        <f>SUM(D46:S47)</f>
        <v>0</v>
      </c>
      <c r="U46" s="57"/>
      <c r="V46" s="57"/>
      <c r="W46" s="155"/>
      <c r="X46" s="69">
        <f>SUM(T46:W47)</f>
        <v>0</v>
      </c>
      <c r="Y46" s="115">
        <f>COUNT(D46:S47)</f>
        <v>0</v>
      </c>
      <c r="Z46" s="57"/>
      <c r="AA46" s="57">
        <f>SUM(Y46:Z47)</f>
        <v>0</v>
      </c>
      <c r="AB46" s="57"/>
      <c r="AC46" s="57"/>
      <c r="AD46" s="57"/>
      <c r="AE46" s="57"/>
      <c r="AF46" s="57"/>
      <c r="AG46" s="113">
        <f>AE94</f>
        <v>0</v>
      </c>
    </row>
    <row r="47" spans="1:33" x14ac:dyDescent="0.25">
      <c r="A47" s="58"/>
      <c r="B47" s="236"/>
      <c r="C47" s="23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70"/>
      <c r="U47" s="58"/>
      <c r="V47" s="58"/>
      <c r="W47" s="156"/>
      <c r="X47" s="70"/>
      <c r="Y47" s="116"/>
      <c r="Z47" s="58"/>
      <c r="AA47" s="58"/>
      <c r="AB47" s="58"/>
      <c r="AC47" s="58"/>
      <c r="AD47" s="58"/>
      <c r="AE47" s="58"/>
      <c r="AF47" s="58"/>
      <c r="AG47" s="114"/>
    </row>
    <row r="48" spans="1:33" x14ac:dyDescent="0.25">
      <c r="A48" s="57">
        <v>2</v>
      </c>
      <c r="B48" s="235"/>
      <c r="C48" s="23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69">
        <f>SUM(D48:S49)</f>
        <v>0</v>
      </c>
      <c r="U48" s="57"/>
      <c r="V48" s="57"/>
      <c r="W48" s="57"/>
      <c r="X48" s="69">
        <f>SUM(T48:W49)</f>
        <v>0</v>
      </c>
      <c r="Y48" s="115">
        <f>COUNT(D48:S49)</f>
        <v>0</v>
      </c>
      <c r="Z48" s="57"/>
      <c r="AA48" s="57">
        <f>SUM(Y48:Z49)</f>
        <v>0</v>
      </c>
      <c r="AB48" s="57"/>
      <c r="AC48" s="57"/>
      <c r="AD48" s="57"/>
      <c r="AE48" s="57"/>
      <c r="AF48" s="57"/>
      <c r="AG48" s="113">
        <f>AE95</f>
        <v>0</v>
      </c>
    </row>
    <row r="49" spans="1:33" x14ac:dyDescent="0.25">
      <c r="A49" s="58"/>
      <c r="B49" s="236"/>
      <c r="C49" s="23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70"/>
      <c r="U49" s="58"/>
      <c r="V49" s="58"/>
      <c r="W49" s="58"/>
      <c r="X49" s="70"/>
      <c r="Y49" s="116"/>
      <c r="Z49" s="58"/>
      <c r="AA49" s="58"/>
      <c r="AB49" s="58"/>
      <c r="AC49" s="58"/>
      <c r="AD49" s="58"/>
      <c r="AE49" s="58"/>
      <c r="AF49" s="58"/>
      <c r="AG49" s="114"/>
    </row>
    <row r="50" spans="1:33" x14ac:dyDescent="0.25">
      <c r="A50" s="57">
        <v>3</v>
      </c>
      <c r="B50" s="235"/>
      <c r="C50" s="23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69">
        <f>SUM(D50:S51)</f>
        <v>0</v>
      </c>
      <c r="U50" s="57"/>
      <c r="V50" s="57"/>
      <c r="W50" s="57"/>
      <c r="X50" s="69">
        <f>SUM(T50:W51)</f>
        <v>0</v>
      </c>
      <c r="Y50" s="115">
        <f>COUNT(D50:S51)</f>
        <v>0</v>
      </c>
      <c r="Z50" s="57"/>
      <c r="AA50" s="57">
        <f>SUM(Y50:Z51)</f>
        <v>0</v>
      </c>
      <c r="AB50" s="57"/>
      <c r="AC50" s="57"/>
      <c r="AD50" s="57"/>
      <c r="AE50" s="57"/>
      <c r="AF50" s="57"/>
      <c r="AG50" s="113">
        <f>AE96</f>
        <v>0</v>
      </c>
    </row>
    <row r="51" spans="1:33" x14ac:dyDescent="0.25">
      <c r="A51" s="58"/>
      <c r="B51" s="236"/>
      <c r="C51" s="23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70"/>
      <c r="U51" s="58"/>
      <c r="V51" s="58"/>
      <c r="W51" s="58"/>
      <c r="X51" s="70"/>
      <c r="Y51" s="116"/>
      <c r="Z51" s="58"/>
      <c r="AA51" s="58"/>
      <c r="AB51" s="58"/>
      <c r="AC51" s="58"/>
      <c r="AD51" s="58"/>
      <c r="AE51" s="58"/>
      <c r="AF51" s="58"/>
      <c r="AG51" s="114"/>
    </row>
    <row r="52" spans="1:33" x14ac:dyDescent="0.25">
      <c r="A52" s="57">
        <v>4</v>
      </c>
      <c r="B52" s="235"/>
      <c r="C52" s="23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69">
        <f>SUM(D52:S53)</f>
        <v>0</v>
      </c>
      <c r="U52" s="57"/>
      <c r="V52" s="57"/>
      <c r="W52" s="57"/>
      <c r="X52" s="69">
        <f>SUM(T52:W53)</f>
        <v>0</v>
      </c>
      <c r="Y52" s="115">
        <f>COUNT(D52:S53)</f>
        <v>0</v>
      </c>
      <c r="Z52" s="57"/>
      <c r="AA52" s="57">
        <f>SUM(Y52:Z53)</f>
        <v>0</v>
      </c>
      <c r="AB52" s="57"/>
      <c r="AC52" s="57"/>
      <c r="AD52" s="57"/>
      <c r="AE52" s="57"/>
      <c r="AF52" s="57"/>
      <c r="AG52" s="113">
        <f>AE97</f>
        <v>0</v>
      </c>
    </row>
    <row r="53" spans="1:33" x14ac:dyDescent="0.25">
      <c r="A53" s="58"/>
      <c r="B53" s="236"/>
      <c r="C53" s="23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70"/>
      <c r="U53" s="58"/>
      <c r="V53" s="58"/>
      <c r="W53" s="58"/>
      <c r="X53" s="70"/>
      <c r="Y53" s="116"/>
      <c r="Z53" s="58"/>
      <c r="AA53" s="58"/>
      <c r="AB53" s="58"/>
      <c r="AC53" s="58"/>
      <c r="AD53" s="58"/>
      <c r="AE53" s="58"/>
      <c r="AF53" s="58"/>
      <c r="AG53" s="114"/>
    </row>
    <row r="54" spans="1:33" x14ac:dyDescent="0.25">
      <c r="A54" s="57">
        <v>5</v>
      </c>
      <c r="B54" s="235"/>
      <c r="C54" s="23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69">
        <f>SUM(D54:S55)</f>
        <v>0</v>
      </c>
      <c r="U54" s="57"/>
      <c r="V54" s="57"/>
      <c r="W54" s="57"/>
      <c r="X54" s="69">
        <f>SUM(T54:W55)</f>
        <v>0</v>
      </c>
      <c r="Y54" s="115">
        <f>COUNT(D54:S55)</f>
        <v>0</v>
      </c>
      <c r="Z54" s="57"/>
      <c r="AA54" s="57">
        <f>SUM(Y54:Z55)</f>
        <v>0</v>
      </c>
      <c r="AB54" s="57"/>
      <c r="AC54" s="115"/>
      <c r="AD54" s="57"/>
      <c r="AE54" s="57"/>
      <c r="AF54" s="57"/>
      <c r="AG54" s="113">
        <f>AE98</f>
        <v>0</v>
      </c>
    </row>
    <row r="55" spans="1:33" x14ac:dyDescent="0.25">
      <c r="A55" s="58"/>
      <c r="B55" s="236"/>
      <c r="C55" s="234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70"/>
      <c r="U55" s="58"/>
      <c r="V55" s="58"/>
      <c r="W55" s="58"/>
      <c r="X55" s="70"/>
      <c r="Y55" s="116"/>
      <c r="Z55" s="58"/>
      <c r="AA55" s="58"/>
      <c r="AB55" s="58"/>
      <c r="AC55" s="116"/>
      <c r="AD55" s="58"/>
      <c r="AE55" s="58"/>
      <c r="AF55" s="58"/>
      <c r="AG55" s="114"/>
    </row>
    <row r="56" spans="1:33" x14ac:dyDescent="0.25">
      <c r="A56" s="57">
        <v>6</v>
      </c>
      <c r="B56" s="235"/>
      <c r="C56" s="23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69">
        <f>SUM(D56:S57)</f>
        <v>0</v>
      </c>
      <c r="U56" s="57"/>
      <c r="V56" s="57"/>
      <c r="W56" s="57"/>
      <c r="X56" s="69">
        <f>SUM(T56:W57)</f>
        <v>0</v>
      </c>
      <c r="Y56" s="115">
        <f>COUNT(D56:S57)</f>
        <v>0</v>
      </c>
      <c r="Z56" s="57"/>
      <c r="AA56" s="57">
        <f>SUM(Y56:Z57)</f>
        <v>0</v>
      </c>
      <c r="AB56" s="57"/>
      <c r="AC56" s="57"/>
      <c r="AD56" s="57"/>
      <c r="AE56" s="57"/>
      <c r="AF56" s="57"/>
      <c r="AG56" s="113">
        <f>AE99</f>
        <v>0</v>
      </c>
    </row>
    <row r="57" spans="1:33" x14ac:dyDescent="0.25">
      <c r="A57" s="58"/>
      <c r="B57" s="236"/>
      <c r="C57" s="234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70"/>
      <c r="U57" s="58"/>
      <c r="V57" s="58"/>
      <c r="W57" s="58"/>
      <c r="X57" s="70"/>
      <c r="Y57" s="116"/>
      <c r="Z57" s="58"/>
      <c r="AA57" s="58"/>
      <c r="AB57" s="58"/>
      <c r="AC57" s="58"/>
      <c r="AD57" s="58"/>
      <c r="AE57" s="58"/>
      <c r="AF57" s="58"/>
      <c r="AG57" s="114"/>
    </row>
    <row r="58" spans="1:33" x14ac:dyDescent="0.25">
      <c r="A58" s="57">
        <v>7</v>
      </c>
      <c r="B58" s="235"/>
      <c r="C58" s="23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69">
        <f>SUM(D58:S59)</f>
        <v>0</v>
      </c>
      <c r="U58" s="57"/>
      <c r="V58" s="57"/>
      <c r="W58" s="57"/>
      <c r="X58" s="69">
        <f>SUM(T58:W59)</f>
        <v>0</v>
      </c>
      <c r="Y58" s="115">
        <f>COUNT(D58:S59)</f>
        <v>0</v>
      </c>
      <c r="Z58" s="57"/>
      <c r="AA58" s="57">
        <f>SUM(Y58:Z59)</f>
        <v>0</v>
      </c>
      <c r="AB58" s="57"/>
      <c r="AC58" s="57"/>
      <c r="AD58" s="57"/>
      <c r="AE58" s="57"/>
      <c r="AF58" s="57"/>
      <c r="AG58" s="113">
        <f>AE100</f>
        <v>0</v>
      </c>
    </row>
    <row r="59" spans="1:33" x14ac:dyDescent="0.25">
      <c r="A59" s="58"/>
      <c r="B59" s="236"/>
      <c r="C59" s="234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70"/>
      <c r="U59" s="58"/>
      <c r="V59" s="58"/>
      <c r="W59" s="58"/>
      <c r="X59" s="70"/>
      <c r="Y59" s="116"/>
      <c r="Z59" s="58"/>
      <c r="AA59" s="58"/>
      <c r="AB59" s="58"/>
      <c r="AC59" s="58"/>
      <c r="AD59" s="58"/>
      <c r="AE59" s="58"/>
      <c r="AF59" s="58"/>
      <c r="AG59" s="114"/>
    </row>
    <row r="60" spans="1:33" x14ac:dyDescent="0.25">
      <c r="A60" s="57">
        <v>8</v>
      </c>
      <c r="B60" s="235"/>
      <c r="C60" s="23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69">
        <f>SUM(D60:S61)</f>
        <v>0</v>
      </c>
      <c r="U60" s="57"/>
      <c r="V60" s="57"/>
      <c r="W60" s="57"/>
      <c r="X60" s="69">
        <f>SUM(T60:W61)</f>
        <v>0</v>
      </c>
      <c r="Y60" s="115">
        <f>COUNT(D60:S61)</f>
        <v>0</v>
      </c>
      <c r="Z60" s="57"/>
      <c r="AA60" s="57">
        <f>SUM(Y60:Z61)</f>
        <v>0</v>
      </c>
      <c r="AB60" s="57"/>
      <c r="AC60" s="57"/>
      <c r="AD60" s="57"/>
      <c r="AE60" s="57"/>
      <c r="AF60" s="57"/>
      <c r="AG60" s="113">
        <f>AE101</f>
        <v>0</v>
      </c>
    </row>
    <row r="61" spans="1:33" x14ac:dyDescent="0.25">
      <c r="A61" s="58"/>
      <c r="B61" s="236"/>
      <c r="C61" s="234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70"/>
      <c r="U61" s="58"/>
      <c r="V61" s="58"/>
      <c r="W61" s="58"/>
      <c r="X61" s="70"/>
      <c r="Y61" s="116"/>
      <c r="Z61" s="58"/>
      <c r="AA61" s="58"/>
      <c r="AB61" s="58"/>
      <c r="AC61" s="58"/>
      <c r="AD61" s="58"/>
      <c r="AE61" s="58"/>
      <c r="AF61" s="58"/>
      <c r="AG61" s="114"/>
    </row>
    <row r="62" spans="1:33" x14ac:dyDescent="0.25">
      <c r="A62" s="57">
        <v>9</v>
      </c>
      <c r="B62" s="235"/>
      <c r="C62" s="23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69">
        <f>SUM(D62:S63)</f>
        <v>0</v>
      </c>
      <c r="U62" s="57"/>
      <c r="V62" s="57"/>
      <c r="W62" s="57"/>
      <c r="X62" s="69">
        <f>SUM(T62:W63)</f>
        <v>0</v>
      </c>
      <c r="Y62" s="115">
        <f>COUNT(D62:S63)</f>
        <v>0</v>
      </c>
      <c r="Z62" s="57"/>
      <c r="AA62" s="57">
        <f>SUM(Y62:Z63)</f>
        <v>0</v>
      </c>
      <c r="AB62" s="57"/>
      <c r="AC62" s="57"/>
      <c r="AD62" s="57"/>
      <c r="AE62" s="57"/>
      <c r="AF62" s="57"/>
      <c r="AG62" s="113">
        <f>AE102</f>
        <v>0</v>
      </c>
    </row>
    <row r="63" spans="1:33" x14ac:dyDescent="0.25">
      <c r="A63" s="58"/>
      <c r="B63" s="236"/>
      <c r="C63" s="234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70"/>
      <c r="U63" s="58"/>
      <c r="V63" s="58"/>
      <c r="W63" s="58"/>
      <c r="X63" s="70"/>
      <c r="Y63" s="116"/>
      <c r="Z63" s="58"/>
      <c r="AA63" s="58"/>
      <c r="AB63" s="58"/>
      <c r="AC63" s="58"/>
      <c r="AD63" s="58"/>
      <c r="AE63" s="58"/>
      <c r="AF63" s="58"/>
      <c r="AG63" s="114"/>
    </row>
    <row r="64" spans="1:33" x14ac:dyDescent="0.25">
      <c r="A64" s="57">
        <v>10</v>
      </c>
      <c r="B64" s="235"/>
      <c r="C64" s="23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69">
        <f>SUM(D64:S65)</f>
        <v>0</v>
      </c>
      <c r="U64" s="57"/>
      <c r="V64" s="57"/>
      <c r="W64" s="57"/>
      <c r="X64" s="69">
        <f>SUM(T64:W65)</f>
        <v>0</v>
      </c>
      <c r="Y64" s="115">
        <f>COUNT(D64:S65)</f>
        <v>0</v>
      </c>
      <c r="Z64" s="57"/>
      <c r="AA64" s="57">
        <f>SUM(Y64:Z65)</f>
        <v>0</v>
      </c>
      <c r="AB64" s="57"/>
      <c r="AC64" s="57"/>
      <c r="AD64" s="57"/>
      <c r="AE64" s="57"/>
      <c r="AF64" s="57"/>
      <c r="AG64" s="113">
        <f>AE103</f>
        <v>0</v>
      </c>
    </row>
    <row r="65" spans="1:33" x14ac:dyDescent="0.25">
      <c r="A65" s="58"/>
      <c r="B65" s="236"/>
      <c r="C65" s="234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70"/>
      <c r="U65" s="58"/>
      <c r="V65" s="58"/>
      <c r="W65" s="58"/>
      <c r="X65" s="70"/>
      <c r="Y65" s="116"/>
      <c r="Z65" s="58"/>
      <c r="AA65" s="58"/>
      <c r="AB65" s="58"/>
      <c r="AC65" s="58"/>
      <c r="AD65" s="58"/>
      <c r="AE65" s="58"/>
      <c r="AF65" s="58"/>
      <c r="AG65" s="114"/>
    </row>
    <row r="66" spans="1:33" x14ac:dyDescent="0.25">
      <c r="A66" s="57">
        <v>11</v>
      </c>
      <c r="B66" s="235"/>
      <c r="C66" s="23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69">
        <f>SUM(D66:S67)</f>
        <v>0</v>
      </c>
      <c r="U66" s="57"/>
      <c r="V66" s="57"/>
      <c r="W66" s="57"/>
      <c r="X66" s="69">
        <f>SUM(T66:W67)</f>
        <v>0</v>
      </c>
      <c r="Y66" s="115">
        <f>COUNT(D66:S67)</f>
        <v>0</v>
      </c>
      <c r="Z66" s="57"/>
      <c r="AA66" s="57">
        <f>SUM(Y66:Z67)</f>
        <v>0</v>
      </c>
      <c r="AB66" s="57"/>
      <c r="AC66" s="57"/>
      <c r="AD66" s="57"/>
      <c r="AE66" s="57"/>
      <c r="AF66" s="57"/>
      <c r="AG66" s="113">
        <f>AE104</f>
        <v>0</v>
      </c>
    </row>
    <row r="67" spans="1:33" x14ac:dyDescent="0.25">
      <c r="A67" s="58"/>
      <c r="B67" s="236"/>
      <c r="C67" s="234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70"/>
      <c r="U67" s="58"/>
      <c r="V67" s="58"/>
      <c r="W67" s="58"/>
      <c r="X67" s="70"/>
      <c r="Y67" s="116"/>
      <c r="Z67" s="58"/>
      <c r="AA67" s="58"/>
      <c r="AB67" s="58"/>
      <c r="AC67" s="58"/>
      <c r="AD67" s="58"/>
      <c r="AE67" s="58"/>
      <c r="AF67" s="58"/>
      <c r="AG67" s="114"/>
    </row>
    <row r="68" spans="1:33" x14ac:dyDescent="0.25">
      <c r="A68" s="57">
        <v>12</v>
      </c>
      <c r="B68" s="235"/>
      <c r="C68" s="23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69">
        <f>SUM(D68:S69)</f>
        <v>0</v>
      </c>
      <c r="U68" s="57"/>
      <c r="V68" s="57"/>
      <c r="W68" s="57"/>
      <c r="X68" s="69">
        <f>SUM(T68:W69)</f>
        <v>0</v>
      </c>
      <c r="Y68" s="115">
        <f>COUNT(D68:S69)</f>
        <v>0</v>
      </c>
      <c r="Z68" s="57"/>
      <c r="AA68" s="57">
        <f>SUM(Y68:Z69)</f>
        <v>0</v>
      </c>
      <c r="AB68" s="57"/>
      <c r="AC68" s="57"/>
      <c r="AD68" s="57"/>
      <c r="AE68" s="57"/>
      <c r="AF68" s="57"/>
      <c r="AG68" s="113">
        <f>AE105</f>
        <v>0</v>
      </c>
    </row>
    <row r="69" spans="1:33" x14ac:dyDescent="0.25">
      <c r="A69" s="58"/>
      <c r="B69" s="236"/>
      <c r="C69" s="234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70"/>
      <c r="U69" s="58"/>
      <c r="V69" s="58"/>
      <c r="W69" s="58"/>
      <c r="X69" s="70"/>
      <c r="Y69" s="116"/>
      <c r="Z69" s="58"/>
      <c r="AA69" s="58"/>
      <c r="AB69" s="58"/>
      <c r="AC69" s="58"/>
      <c r="AD69" s="58"/>
      <c r="AE69" s="58"/>
      <c r="AF69" s="58"/>
      <c r="AG69" s="114"/>
    </row>
    <row r="70" spans="1:33" x14ac:dyDescent="0.25">
      <c r="A70" s="57">
        <v>13</v>
      </c>
      <c r="B70" s="235"/>
      <c r="C70" s="23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69">
        <f>SUM(D70:S71)</f>
        <v>0</v>
      </c>
      <c r="U70" s="57"/>
      <c r="V70" s="57"/>
      <c r="W70" s="57"/>
      <c r="X70" s="69">
        <f>SUM(T70:W71)</f>
        <v>0</v>
      </c>
      <c r="Y70" s="115">
        <f>COUNT(D70:S71)</f>
        <v>0</v>
      </c>
      <c r="Z70" s="57"/>
      <c r="AA70" s="57">
        <f>SUM(Y70:Z71)</f>
        <v>0</v>
      </c>
      <c r="AB70" s="57"/>
      <c r="AC70" s="57"/>
      <c r="AD70" s="57"/>
      <c r="AE70" s="57"/>
      <c r="AF70" s="57"/>
      <c r="AG70" s="113">
        <f>AE106</f>
        <v>0</v>
      </c>
    </row>
    <row r="71" spans="1:33" x14ac:dyDescent="0.25">
      <c r="A71" s="58"/>
      <c r="B71" s="236"/>
      <c r="C71" s="234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70"/>
      <c r="U71" s="58"/>
      <c r="V71" s="58"/>
      <c r="W71" s="58"/>
      <c r="X71" s="70"/>
      <c r="Y71" s="116"/>
      <c r="Z71" s="58"/>
      <c r="AA71" s="58"/>
      <c r="AB71" s="58"/>
      <c r="AC71" s="58"/>
      <c r="AD71" s="58"/>
      <c r="AE71" s="58"/>
      <c r="AF71" s="58"/>
      <c r="AG71" s="114"/>
    </row>
    <row r="72" spans="1:33" x14ac:dyDescent="0.25">
      <c r="A72" s="57">
        <v>14</v>
      </c>
      <c r="B72" s="235"/>
      <c r="C72" s="23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69">
        <f>SUM(D72:S73)</f>
        <v>0</v>
      </c>
      <c r="U72" s="57"/>
      <c r="V72" s="57"/>
      <c r="W72" s="57"/>
      <c r="X72" s="69">
        <f>SUM(T72:W73)</f>
        <v>0</v>
      </c>
      <c r="Y72" s="115">
        <f>COUNT(D72:S73)</f>
        <v>0</v>
      </c>
      <c r="Z72" s="57"/>
      <c r="AA72" s="57">
        <f>SUM(Y72:Z73)</f>
        <v>0</v>
      </c>
      <c r="AB72" s="57"/>
      <c r="AC72" s="57"/>
      <c r="AD72" s="57"/>
      <c r="AE72" s="57"/>
      <c r="AF72" s="57"/>
      <c r="AG72" s="113">
        <f>AE107</f>
        <v>0</v>
      </c>
    </row>
    <row r="73" spans="1:33" x14ac:dyDescent="0.25">
      <c r="A73" s="58"/>
      <c r="B73" s="236"/>
      <c r="C73" s="234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70"/>
      <c r="U73" s="58"/>
      <c r="V73" s="58"/>
      <c r="W73" s="58"/>
      <c r="X73" s="70"/>
      <c r="Y73" s="116"/>
      <c r="Z73" s="58"/>
      <c r="AA73" s="58"/>
      <c r="AB73" s="58"/>
      <c r="AC73" s="58"/>
      <c r="AD73" s="58"/>
      <c r="AE73" s="58"/>
      <c r="AF73" s="58"/>
      <c r="AG73" s="114"/>
    </row>
    <row r="74" spans="1:33" ht="12.75" customHeight="1" x14ac:dyDescent="0.25">
      <c r="Q74" s="151" t="s">
        <v>28</v>
      </c>
      <c r="R74" s="151"/>
      <c r="S74" s="152"/>
      <c r="T74" s="16">
        <f>SUM(T46:T73)</f>
        <v>0</v>
      </c>
      <c r="U74" s="5"/>
      <c r="V74" s="5"/>
      <c r="W74" s="5"/>
      <c r="X74" s="5">
        <f>SUM(X46:X73)</f>
        <v>0</v>
      </c>
      <c r="Y74" s="17">
        <f>SUM(Y46:Y73)</f>
        <v>0</v>
      </c>
      <c r="Z74" s="5"/>
      <c r="AA74" s="5">
        <f>SUM(AA46:AA73)</f>
        <v>0</v>
      </c>
      <c r="AB74" s="5"/>
      <c r="AC74" s="5"/>
      <c r="AD74" s="5"/>
      <c r="AE74" s="5"/>
      <c r="AF74" s="5"/>
      <c r="AG74" s="23">
        <f>SUM(AG46:AG73)</f>
        <v>0</v>
      </c>
    </row>
    <row r="75" spans="1:33" ht="12.75" customHeight="1" x14ac:dyDescent="0.25">
      <c r="Q75" s="18"/>
      <c r="R75" s="18"/>
      <c r="S75" s="18"/>
      <c r="T75" s="19"/>
      <c r="U75" s="19"/>
      <c r="V75" s="19"/>
      <c r="W75" s="19"/>
      <c r="X75" s="19"/>
      <c r="Y75" s="20"/>
      <c r="Z75" s="19"/>
      <c r="AA75" s="19"/>
      <c r="AB75" s="19"/>
      <c r="AC75" s="19"/>
      <c r="AD75" s="19"/>
      <c r="AE75" s="19"/>
      <c r="AF75" s="19"/>
      <c r="AG75" s="19"/>
    </row>
    <row r="76" spans="1:33" x14ac:dyDescent="0.25">
      <c r="B76" s="47" t="s">
        <v>29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T76" s="46" t="s">
        <v>92</v>
      </c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</row>
    <row r="77" spans="1:33" ht="24" customHeight="1" x14ac:dyDescent="0.25">
      <c r="B77" s="204" t="s">
        <v>30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T77" s="204" t="s">
        <v>68</v>
      </c>
      <c r="U77" s="204"/>
      <c r="V77" s="204"/>
      <c r="W77" s="204"/>
      <c r="X77" s="204"/>
      <c r="Y77" s="241"/>
      <c r="Z77" s="241"/>
      <c r="AA77" s="241"/>
      <c r="AB77" s="241"/>
      <c r="AC77" s="241"/>
      <c r="AD77" s="241"/>
      <c r="AE77" s="241"/>
      <c r="AF77" s="241"/>
      <c r="AG77" s="241"/>
    </row>
    <row r="78" spans="1:33" x14ac:dyDescent="0.25">
      <c r="B78" s="46" t="s">
        <v>31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33" x14ac:dyDescent="0.25">
      <c r="B79" s="46" t="str">
        <f>ИТОГО!B79</f>
        <v>Экономист Яцевич Н. Г.  ______________________________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T79" s="46" t="s">
        <v>32</v>
      </c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spans="1:33" x14ac:dyDescent="0.25">
      <c r="T80" s="47" t="s">
        <v>33</v>
      </c>
      <c r="U80" s="47"/>
      <c r="V80" s="47"/>
      <c r="W80" s="47"/>
      <c r="X80" s="47"/>
      <c r="Y80" s="47"/>
      <c r="Z80" s="42" t="str">
        <f>ИТОГО!Z80</f>
        <v>Нач ДРСУ 161 _______________ Залога Г.Ч.</v>
      </c>
      <c r="AA80" s="42"/>
      <c r="AB80" s="42"/>
      <c r="AC80" s="42"/>
      <c r="AD80" s="42"/>
      <c r="AE80" s="42"/>
      <c r="AF80" s="42"/>
      <c r="AG80" s="42"/>
    </row>
    <row r="81" spans="1:33" x14ac:dyDescent="0.25">
      <c r="C81" s="59" t="s">
        <v>83</v>
      </c>
      <c r="D81" s="59"/>
      <c r="E81" s="59"/>
      <c r="F81" s="59"/>
      <c r="G81" s="59"/>
      <c r="H81" s="59"/>
      <c r="I81" s="59"/>
      <c r="J81" s="59"/>
      <c r="K81" s="59"/>
      <c r="L81" s="56">
        <f>Q4</f>
        <v>2026</v>
      </c>
      <c r="M81" s="56"/>
      <c r="N81" s="4" t="s">
        <v>76</v>
      </c>
      <c r="Z81" s="42" t="s">
        <v>166</v>
      </c>
      <c r="AA81" s="42"/>
      <c r="AB81" s="42"/>
      <c r="AC81" s="42"/>
      <c r="AD81" s="42"/>
      <c r="AE81" s="42"/>
      <c r="AF81" s="42"/>
      <c r="AG81" s="42"/>
    </row>
    <row r="82" spans="1:33" x14ac:dyDescent="0.25">
      <c r="X82" s="46" t="s">
        <v>84</v>
      </c>
      <c r="Y82" s="46"/>
      <c r="Z82" s="46"/>
      <c r="AA82" s="46"/>
      <c r="AB82" s="46"/>
      <c r="AC82" s="46"/>
      <c r="AD82" s="46"/>
      <c r="AE82" s="9">
        <f>Q4</f>
        <v>2026</v>
      </c>
      <c r="AF82" s="9" t="s">
        <v>76</v>
      </c>
    </row>
    <row r="84" spans="1:33" x14ac:dyDescent="0.25">
      <c r="I84" s="56" t="s">
        <v>57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</row>
    <row r="86" spans="1:33" x14ac:dyDescent="0.25">
      <c r="D86" s="56" t="s">
        <v>165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33" ht="13" x14ac:dyDescent="0.3">
      <c r="I87" s="206" t="s">
        <v>71</v>
      </c>
      <c r="J87" s="206"/>
      <c r="K87" s="206"/>
      <c r="L87" s="126">
        <f>I4</f>
        <v>0</v>
      </c>
      <c r="M87" s="126"/>
      <c r="N87" s="126"/>
      <c r="O87" s="126"/>
      <c r="P87" s="126"/>
      <c r="Q87" s="126"/>
      <c r="R87" s="126"/>
      <c r="S87" s="149">
        <f>Q4</f>
        <v>2026</v>
      </c>
      <c r="T87" s="149"/>
      <c r="U87" s="149"/>
      <c r="V87" s="4" t="s">
        <v>76</v>
      </c>
    </row>
    <row r="88" spans="1:33" x14ac:dyDescent="0.25">
      <c r="L88" s="2"/>
    </row>
    <row r="89" spans="1:33" x14ac:dyDescent="0.25">
      <c r="A89" s="59" t="str">
        <f>A5</f>
        <v>Объект:  Содержание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</row>
    <row r="90" spans="1:33" ht="13" x14ac:dyDescent="0.3">
      <c r="K90" s="61" t="s">
        <v>90</v>
      </c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33" ht="12.75" customHeight="1" x14ac:dyDescent="0.25">
      <c r="A91" s="110" t="s">
        <v>59</v>
      </c>
      <c r="B91" s="92" t="s">
        <v>26</v>
      </c>
      <c r="C91" s="93"/>
      <c r="D91" s="93"/>
      <c r="E91" s="93"/>
      <c r="F91" s="93"/>
      <c r="G91" s="93"/>
      <c r="H91" s="94"/>
      <c r="I91" s="92" t="s">
        <v>60</v>
      </c>
      <c r="J91" s="93"/>
      <c r="K91" s="94"/>
      <c r="L91" s="101" t="s">
        <v>61</v>
      </c>
      <c r="M91" s="102"/>
      <c r="N91" s="102"/>
      <c r="O91" s="103"/>
      <c r="P91" s="101" t="s">
        <v>62</v>
      </c>
      <c r="Q91" s="102"/>
      <c r="R91" s="102"/>
      <c r="S91" s="103"/>
      <c r="T91" s="101" t="s">
        <v>63</v>
      </c>
      <c r="U91" s="102"/>
      <c r="V91" s="103"/>
      <c r="W91" s="101" t="s">
        <v>64</v>
      </c>
      <c r="X91" s="102"/>
      <c r="Y91" s="102"/>
      <c r="Z91" s="103"/>
      <c r="AA91" s="92" t="s">
        <v>87</v>
      </c>
      <c r="AB91" s="93"/>
      <c r="AC91" s="93"/>
      <c r="AD91" s="94"/>
      <c r="AE91" s="101" t="s">
        <v>65</v>
      </c>
      <c r="AF91" s="102"/>
      <c r="AG91" s="103"/>
    </row>
    <row r="92" spans="1:33" x14ac:dyDescent="0.25">
      <c r="A92" s="111"/>
      <c r="B92" s="95"/>
      <c r="C92" s="96"/>
      <c r="D92" s="96"/>
      <c r="E92" s="96"/>
      <c r="F92" s="96"/>
      <c r="G92" s="96"/>
      <c r="H92" s="97"/>
      <c r="I92" s="95"/>
      <c r="J92" s="96"/>
      <c r="K92" s="97"/>
      <c r="L92" s="104"/>
      <c r="M92" s="105"/>
      <c r="N92" s="105"/>
      <c r="O92" s="106"/>
      <c r="P92" s="104"/>
      <c r="Q92" s="105"/>
      <c r="R92" s="105"/>
      <c r="S92" s="106"/>
      <c r="T92" s="104"/>
      <c r="U92" s="105"/>
      <c r="V92" s="106"/>
      <c r="W92" s="104"/>
      <c r="X92" s="105"/>
      <c r="Y92" s="105"/>
      <c r="Z92" s="106"/>
      <c r="AA92" s="95"/>
      <c r="AB92" s="96"/>
      <c r="AC92" s="96"/>
      <c r="AD92" s="97"/>
      <c r="AE92" s="104"/>
      <c r="AF92" s="105"/>
      <c r="AG92" s="106"/>
    </row>
    <row r="93" spans="1:33" x14ac:dyDescent="0.25">
      <c r="A93" s="112"/>
      <c r="B93" s="98"/>
      <c r="C93" s="99"/>
      <c r="D93" s="99"/>
      <c r="E93" s="99"/>
      <c r="F93" s="99"/>
      <c r="G93" s="99"/>
      <c r="H93" s="100"/>
      <c r="I93" s="98"/>
      <c r="J93" s="99"/>
      <c r="K93" s="100"/>
      <c r="L93" s="107"/>
      <c r="M93" s="108"/>
      <c r="N93" s="108"/>
      <c r="O93" s="109"/>
      <c r="P93" s="107"/>
      <c r="Q93" s="108"/>
      <c r="R93" s="108"/>
      <c r="S93" s="109"/>
      <c r="T93" s="107"/>
      <c r="U93" s="108"/>
      <c r="V93" s="109"/>
      <c r="W93" s="107"/>
      <c r="X93" s="108"/>
      <c r="Y93" s="108"/>
      <c r="Z93" s="109"/>
      <c r="AA93" s="98"/>
      <c r="AB93" s="99"/>
      <c r="AC93" s="99"/>
      <c r="AD93" s="100"/>
      <c r="AE93" s="107"/>
      <c r="AF93" s="108"/>
      <c r="AG93" s="109"/>
    </row>
    <row r="94" spans="1:33" ht="21.75" customHeight="1" x14ac:dyDescent="0.25">
      <c r="A94" s="5">
        <v>1</v>
      </c>
      <c r="B94" s="73">
        <f>B46</f>
        <v>0</v>
      </c>
      <c r="C94" s="74"/>
      <c r="D94" s="74"/>
      <c r="E94" s="74"/>
      <c r="F94" s="74"/>
      <c r="G94" s="74"/>
      <c r="H94" s="75"/>
      <c r="I94" s="89">
        <f>C46</f>
        <v>0</v>
      </c>
      <c r="J94" s="90"/>
      <c r="K94" s="91"/>
      <c r="L94" s="89"/>
      <c r="M94" s="90"/>
      <c r="N94" s="90"/>
      <c r="O94" s="91"/>
      <c r="P94" s="43">
        <f>Y46</f>
        <v>0</v>
      </c>
      <c r="Q94" s="44"/>
      <c r="R94" s="44"/>
      <c r="S94" s="45"/>
      <c r="T94" s="43">
        <f>T46</f>
        <v>0</v>
      </c>
      <c r="U94" s="44"/>
      <c r="V94" s="45"/>
      <c r="W94" s="76">
        <f t="shared" ref="W94:W107" si="0">L94*T94</f>
        <v>0</v>
      </c>
      <c r="X94" s="77"/>
      <c r="Y94" s="77"/>
      <c r="Z94" s="78"/>
      <c r="AA94" s="43">
        <f>IF(W108=0,0,AE109/W108)</f>
        <v>0</v>
      </c>
      <c r="AB94" s="44"/>
      <c r="AC94" s="44"/>
      <c r="AD94" s="45"/>
      <c r="AE94" s="230">
        <f t="shared" ref="AE94:AE107" si="1">ROUND(W94*AA94,2)</f>
        <v>0</v>
      </c>
      <c r="AF94" s="231"/>
      <c r="AG94" s="232"/>
    </row>
    <row r="95" spans="1:33" ht="22.5" customHeight="1" x14ac:dyDescent="0.25">
      <c r="A95" s="5">
        <v>2</v>
      </c>
      <c r="B95" s="73">
        <f>B48</f>
        <v>0</v>
      </c>
      <c r="C95" s="74"/>
      <c r="D95" s="74"/>
      <c r="E95" s="74"/>
      <c r="F95" s="74"/>
      <c r="G95" s="74"/>
      <c r="H95" s="75"/>
      <c r="I95" s="89">
        <f>C48</f>
        <v>0</v>
      </c>
      <c r="J95" s="90"/>
      <c r="K95" s="91"/>
      <c r="L95" s="89"/>
      <c r="M95" s="90"/>
      <c r="N95" s="90"/>
      <c r="O95" s="91"/>
      <c r="P95" s="43">
        <f>Y48</f>
        <v>0</v>
      </c>
      <c r="Q95" s="44"/>
      <c r="R95" s="44"/>
      <c r="S95" s="45"/>
      <c r="T95" s="43">
        <f>T48</f>
        <v>0</v>
      </c>
      <c r="U95" s="44"/>
      <c r="V95" s="45"/>
      <c r="W95" s="76">
        <f t="shared" si="0"/>
        <v>0</v>
      </c>
      <c r="X95" s="77"/>
      <c r="Y95" s="77"/>
      <c r="Z95" s="78"/>
      <c r="AA95" s="43">
        <f>IF(W108=0,0,AE109/W108)</f>
        <v>0</v>
      </c>
      <c r="AB95" s="44"/>
      <c r="AC95" s="44"/>
      <c r="AD95" s="45"/>
      <c r="AE95" s="230">
        <f t="shared" si="1"/>
        <v>0</v>
      </c>
      <c r="AF95" s="231"/>
      <c r="AG95" s="232"/>
    </row>
    <row r="96" spans="1:33" ht="22.5" customHeight="1" x14ac:dyDescent="0.25">
      <c r="A96" s="5">
        <v>3</v>
      </c>
      <c r="B96" s="73">
        <f>B50</f>
        <v>0</v>
      </c>
      <c r="C96" s="74"/>
      <c r="D96" s="74"/>
      <c r="E96" s="74"/>
      <c r="F96" s="74"/>
      <c r="G96" s="74"/>
      <c r="H96" s="75"/>
      <c r="I96" s="89">
        <f>C50</f>
        <v>0</v>
      </c>
      <c r="J96" s="90"/>
      <c r="K96" s="91"/>
      <c r="L96" s="89"/>
      <c r="M96" s="90"/>
      <c r="N96" s="90"/>
      <c r="O96" s="91"/>
      <c r="P96" s="43">
        <f>Y50</f>
        <v>0</v>
      </c>
      <c r="Q96" s="44"/>
      <c r="R96" s="44"/>
      <c r="S96" s="45"/>
      <c r="T96" s="43">
        <f>T50</f>
        <v>0</v>
      </c>
      <c r="U96" s="44"/>
      <c r="V96" s="45"/>
      <c r="W96" s="76">
        <f t="shared" si="0"/>
        <v>0</v>
      </c>
      <c r="X96" s="77"/>
      <c r="Y96" s="77"/>
      <c r="Z96" s="78"/>
      <c r="AA96" s="43">
        <f>IF(W108=0,0,AE109/W108)</f>
        <v>0</v>
      </c>
      <c r="AB96" s="44"/>
      <c r="AC96" s="44"/>
      <c r="AD96" s="45"/>
      <c r="AE96" s="230">
        <f t="shared" si="1"/>
        <v>0</v>
      </c>
      <c r="AF96" s="231"/>
      <c r="AG96" s="232"/>
    </row>
    <row r="97" spans="1:33" ht="22.5" customHeight="1" x14ac:dyDescent="0.25">
      <c r="A97" s="5">
        <v>4</v>
      </c>
      <c r="B97" s="73">
        <f>B52</f>
        <v>0</v>
      </c>
      <c r="C97" s="74"/>
      <c r="D97" s="74"/>
      <c r="E97" s="74"/>
      <c r="F97" s="74"/>
      <c r="G97" s="74"/>
      <c r="H97" s="75"/>
      <c r="I97" s="89">
        <f>C52</f>
        <v>0</v>
      </c>
      <c r="J97" s="90"/>
      <c r="K97" s="91"/>
      <c r="L97" s="89"/>
      <c r="M97" s="90"/>
      <c r="N97" s="90"/>
      <c r="O97" s="91"/>
      <c r="P97" s="43">
        <f>Y52</f>
        <v>0</v>
      </c>
      <c r="Q97" s="44"/>
      <c r="R97" s="44"/>
      <c r="S97" s="45"/>
      <c r="T97" s="43">
        <f>T52</f>
        <v>0</v>
      </c>
      <c r="U97" s="44"/>
      <c r="V97" s="45"/>
      <c r="W97" s="76">
        <f t="shared" si="0"/>
        <v>0</v>
      </c>
      <c r="X97" s="77"/>
      <c r="Y97" s="77"/>
      <c r="Z97" s="78"/>
      <c r="AA97" s="43">
        <f>IF(W108=0,0,AE109/W108)</f>
        <v>0</v>
      </c>
      <c r="AB97" s="44"/>
      <c r="AC97" s="44"/>
      <c r="AD97" s="45"/>
      <c r="AE97" s="230">
        <f t="shared" si="1"/>
        <v>0</v>
      </c>
      <c r="AF97" s="231"/>
      <c r="AG97" s="232"/>
    </row>
    <row r="98" spans="1:33" ht="22.5" customHeight="1" x14ac:dyDescent="0.25">
      <c r="A98" s="5">
        <v>5</v>
      </c>
      <c r="B98" s="73">
        <f>B54</f>
        <v>0</v>
      </c>
      <c r="C98" s="74"/>
      <c r="D98" s="74"/>
      <c r="E98" s="74"/>
      <c r="F98" s="74"/>
      <c r="G98" s="74"/>
      <c r="H98" s="75"/>
      <c r="I98" s="89">
        <f>C54</f>
        <v>0</v>
      </c>
      <c r="J98" s="90"/>
      <c r="K98" s="91"/>
      <c r="L98" s="89"/>
      <c r="M98" s="90"/>
      <c r="N98" s="90"/>
      <c r="O98" s="91"/>
      <c r="P98" s="43">
        <f>Y54</f>
        <v>0</v>
      </c>
      <c r="Q98" s="44"/>
      <c r="R98" s="44"/>
      <c r="S98" s="45"/>
      <c r="T98" s="43">
        <f>T54</f>
        <v>0</v>
      </c>
      <c r="U98" s="44"/>
      <c r="V98" s="45"/>
      <c r="W98" s="76">
        <f t="shared" si="0"/>
        <v>0</v>
      </c>
      <c r="X98" s="77"/>
      <c r="Y98" s="77"/>
      <c r="Z98" s="78"/>
      <c r="AA98" s="43">
        <f>IF(W108=0,0,AE109/W108)</f>
        <v>0</v>
      </c>
      <c r="AB98" s="44"/>
      <c r="AC98" s="44"/>
      <c r="AD98" s="45"/>
      <c r="AE98" s="230">
        <f t="shared" si="1"/>
        <v>0</v>
      </c>
      <c r="AF98" s="231"/>
      <c r="AG98" s="232"/>
    </row>
    <row r="99" spans="1:33" ht="22.5" customHeight="1" x14ac:dyDescent="0.25">
      <c r="A99" s="5">
        <v>6</v>
      </c>
      <c r="B99" s="73">
        <f>B56</f>
        <v>0</v>
      </c>
      <c r="C99" s="74"/>
      <c r="D99" s="74"/>
      <c r="E99" s="74"/>
      <c r="F99" s="74"/>
      <c r="G99" s="74"/>
      <c r="H99" s="75"/>
      <c r="I99" s="89">
        <f>C56</f>
        <v>0</v>
      </c>
      <c r="J99" s="90"/>
      <c r="K99" s="91"/>
      <c r="L99" s="89"/>
      <c r="M99" s="90"/>
      <c r="N99" s="90"/>
      <c r="O99" s="91"/>
      <c r="P99" s="43">
        <f>Y56</f>
        <v>0</v>
      </c>
      <c r="Q99" s="44"/>
      <c r="R99" s="44"/>
      <c r="S99" s="45"/>
      <c r="T99" s="43">
        <f>T56</f>
        <v>0</v>
      </c>
      <c r="U99" s="44"/>
      <c r="V99" s="45"/>
      <c r="W99" s="76">
        <f t="shared" si="0"/>
        <v>0</v>
      </c>
      <c r="X99" s="77"/>
      <c r="Y99" s="77"/>
      <c r="Z99" s="78"/>
      <c r="AA99" s="43">
        <f>IF(W108=0,0,AE109/W108)</f>
        <v>0</v>
      </c>
      <c r="AB99" s="44"/>
      <c r="AC99" s="44"/>
      <c r="AD99" s="45"/>
      <c r="AE99" s="230">
        <f t="shared" si="1"/>
        <v>0</v>
      </c>
      <c r="AF99" s="231"/>
      <c r="AG99" s="232"/>
    </row>
    <row r="100" spans="1:33" ht="22.5" customHeight="1" x14ac:dyDescent="0.25">
      <c r="A100" s="5">
        <v>7</v>
      </c>
      <c r="B100" s="73">
        <f>B58</f>
        <v>0</v>
      </c>
      <c r="C100" s="74"/>
      <c r="D100" s="74"/>
      <c r="E100" s="74"/>
      <c r="F100" s="74"/>
      <c r="G100" s="74"/>
      <c r="H100" s="75"/>
      <c r="I100" s="89">
        <f>C58</f>
        <v>0</v>
      </c>
      <c r="J100" s="90"/>
      <c r="K100" s="91"/>
      <c r="L100" s="89"/>
      <c r="M100" s="90"/>
      <c r="N100" s="90"/>
      <c r="O100" s="91"/>
      <c r="P100" s="43">
        <f>Y58</f>
        <v>0</v>
      </c>
      <c r="Q100" s="44"/>
      <c r="R100" s="44"/>
      <c r="S100" s="45"/>
      <c r="T100" s="43">
        <f>T58</f>
        <v>0</v>
      </c>
      <c r="U100" s="44"/>
      <c r="V100" s="45"/>
      <c r="W100" s="76">
        <f t="shared" si="0"/>
        <v>0</v>
      </c>
      <c r="X100" s="77"/>
      <c r="Y100" s="77"/>
      <c r="Z100" s="78"/>
      <c r="AA100" s="43">
        <f>IF(W108=0,0,AE109/W108)</f>
        <v>0</v>
      </c>
      <c r="AB100" s="44"/>
      <c r="AC100" s="44"/>
      <c r="AD100" s="45"/>
      <c r="AE100" s="230">
        <f>ROUND(W100*AA100,2)</f>
        <v>0</v>
      </c>
      <c r="AF100" s="231"/>
      <c r="AG100" s="232"/>
    </row>
    <row r="101" spans="1:33" ht="21.75" customHeight="1" x14ac:dyDescent="0.25">
      <c r="A101" s="5">
        <v>8</v>
      </c>
      <c r="B101" s="73">
        <f>B60</f>
        <v>0</v>
      </c>
      <c r="C101" s="74"/>
      <c r="D101" s="74"/>
      <c r="E101" s="74"/>
      <c r="F101" s="74"/>
      <c r="G101" s="74"/>
      <c r="H101" s="75"/>
      <c r="I101" s="89">
        <f>C60</f>
        <v>0</v>
      </c>
      <c r="J101" s="90"/>
      <c r="K101" s="91"/>
      <c r="L101" s="89"/>
      <c r="M101" s="90"/>
      <c r="N101" s="90"/>
      <c r="O101" s="91"/>
      <c r="P101" s="43">
        <f>Y60</f>
        <v>0</v>
      </c>
      <c r="Q101" s="44"/>
      <c r="R101" s="44"/>
      <c r="S101" s="45"/>
      <c r="T101" s="43">
        <f>T60</f>
        <v>0</v>
      </c>
      <c r="U101" s="44"/>
      <c r="V101" s="45"/>
      <c r="W101" s="76">
        <f t="shared" si="0"/>
        <v>0</v>
      </c>
      <c r="X101" s="77"/>
      <c r="Y101" s="77"/>
      <c r="Z101" s="78"/>
      <c r="AA101" s="43">
        <f>IF(W108=0,0,AE109/W108)</f>
        <v>0</v>
      </c>
      <c r="AB101" s="44"/>
      <c r="AC101" s="44"/>
      <c r="AD101" s="45"/>
      <c r="AE101" s="230">
        <f t="shared" si="1"/>
        <v>0</v>
      </c>
      <c r="AF101" s="231"/>
      <c r="AG101" s="232"/>
    </row>
    <row r="102" spans="1:33" ht="22.5" customHeight="1" x14ac:dyDescent="0.25">
      <c r="A102" s="5">
        <v>9</v>
      </c>
      <c r="B102" s="73">
        <f>B62</f>
        <v>0</v>
      </c>
      <c r="C102" s="74"/>
      <c r="D102" s="74"/>
      <c r="E102" s="74"/>
      <c r="F102" s="74"/>
      <c r="G102" s="74"/>
      <c r="H102" s="75"/>
      <c r="I102" s="89">
        <f>C62</f>
        <v>0</v>
      </c>
      <c r="J102" s="90"/>
      <c r="K102" s="91"/>
      <c r="L102" s="89"/>
      <c r="M102" s="90"/>
      <c r="N102" s="90"/>
      <c r="O102" s="91"/>
      <c r="P102" s="43">
        <f>Y62</f>
        <v>0</v>
      </c>
      <c r="Q102" s="44"/>
      <c r="R102" s="44"/>
      <c r="S102" s="45"/>
      <c r="T102" s="43">
        <f>T62</f>
        <v>0</v>
      </c>
      <c r="U102" s="44"/>
      <c r="V102" s="45"/>
      <c r="W102" s="76">
        <f t="shared" si="0"/>
        <v>0</v>
      </c>
      <c r="X102" s="77"/>
      <c r="Y102" s="77"/>
      <c r="Z102" s="78"/>
      <c r="AA102" s="43">
        <f>IF(W108=0,0,AE109/W108)</f>
        <v>0</v>
      </c>
      <c r="AB102" s="44"/>
      <c r="AC102" s="44"/>
      <c r="AD102" s="45"/>
      <c r="AE102" s="230">
        <f t="shared" si="1"/>
        <v>0</v>
      </c>
      <c r="AF102" s="231"/>
      <c r="AG102" s="232"/>
    </row>
    <row r="103" spans="1:33" ht="22.5" customHeight="1" x14ac:dyDescent="0.25">
      <c r="A103" s="5">
        <v>10</v>
      </c>
      <c r="B103" s="73">
        <f>B64</f>
        <v>0</v>
      </c>
      <c r="C103" s="74"/>
      <c r="D103" s="74"/>
      <c r="E103" s="74"/>
      <c r="F103" s="74"/>
      <c r="G103" s="74"/>
      <c r="H103" s="75"/>
      <c r="I103" s="89">
        <f>C64</f>
        <v>0</v>
      </c>
      <c r="J103" s="90"/>
      <c r="K103" s="91"/>
      <c r="L103" s="89"/>
      <c r="M103" s="90"/>
      <c r="N103" s="90"/>
      <c r="O103" s="91"/>
      <c r="P103" s="43">
        <f>Y64</f>
        <v>0</v>
      </c>
      <c r="Q103" s="44"/>
      <c r="R103" s="44"/>
      <c r="S103" s="45"/>
      <c r="T103" s="43">
        <f>T64</f>
        <v>0</v>
      </c>
      <c r="U103" s="44"/>
      <c r="V103" s="45"/>
      <c r="W103" s="76">
        <f t="shared" si="0"/>
        <v>0</v>
      </c>
      <c r="X103" s="77"/>
      <c r="Y103" s="77"/>
      <c r="Z103" s="78"/>
      <c r="AA103" s="43">
        <f>IF(W108=0,0,AE109/W108)</f>
        <v>0</v>
      </c>
      <c r="AB103" s="44"/>
      <c r="AC103" s="44"/>
      <c r="AD103" s="45"/>
      <c r="AE103" s="230">
        <f t="shared" si="1"/>
        <v>0</v>
      </c>
      <c r="AF103" s="231"/>
      <c r="AG103" s="232"/>
    </row>
    <row r="104" spans="1:33" ht="22.5" customHeight="1" x14ac:dyDescent="0.25">
      <c r="A104" s="5">
        <v>11</v>
      </c>
      <c r="B104" s="73">
        <f>B66</f>
        <v>0</v>
      </c>
      <c r="C104" s="74"/>
      <c r="D104" s="74"/>
      <c r="E104" s="74"/>
      <c r="F104" s="74"/>
      <c r="G104" s="74"/>
      <c r="H104" s="75"/>
      <c r="I104" s="89">
        <f>C66</f>
        <v>0</v>
      </c>
      <c r="J104" s="90"/>
      <c r="K104" s="91"/>
      <c r="L104" s="89"/>
      <c r="M104" s="90"/>
      <c r="N104" s="90"/>
      <c r="O104" s="91"/>
      <c r="P104" s="43">
        <f>Y66</f>
        <v>0</v>
      </c>
      <c r="Q104" s="44"/>
      <c r="R104" s="44"/>
      <c r="S104" s="45"/>
      <c r="T104" s="43">
        <f>T66</f>
        <v>0</v>
      </c>
      <c r="U104" s="44"/>
      <c r="V104" s="45"/>
      <c r="W104" s="76">
        <f t="shared" si="0"/>
        <v>0</v>
      </c>
      <c r="X104" s="77"/>
      <c r="Y104" s="77"/>
      <c r="Z104" s="78"/>
      <c r="AA104" s="43">
        <f>IF(W108=0,0,AE109/W108)</f>
        <v>0</v>
      </c>
      <c r="AB104" s="44"/>
      <c r="AC104" s="44"/>
      <c r="AD104" s="45"/>
      <c r="AE104" s="230">
        <f t="shared" si="1"/>
        <v>0</v>
      </c>
      <c r="AF104" s="231"/>
      <c r="AG104" s="232"/>
    </row>
    <row r="105" spans="1:33" ht="22.5" customHeight="1" x14ac:dyDescent="0.25">
      <c r="A105" s="5">
        <v>12</v>
      </c>
      <c r="B105" s="73">
        <f>B68</f>
        <v>0</v>
      </c>
      <c r="C105" s="74"/>
      <c r="D105" s="74"/>
      <c r="E105" s="74"/>
      <c r="F105" s="74"/>
      <c r="G105" s="74"/>
      <c r="H105" s="75"/>
      <c r="I105" s="89">
        <f>C68</f>
        <v>0</v>
      </c>
      <c r="J105" s="90"/>
      <c r="K105" s="91"/>
      <c r="L105" s="89"/>
      <c r="M105" s="90"/>
      <c r="N105" s="90"/>
      <c r="O105" s="91"/>
      <c r="P105" s="43">
        <f>Y68</f>
        <v>0</v>
      </c>
      <c r="Q105" s="44"/>
      <c r="R105" s="44"/>
      <c r="S105" s="45"/>
      <c r="T105" s="43">
        <f>T68</f>
        <v>0</v>
      </c>
      <c r="U105" s="44"/>
      <c r="V105" s="45"/>
      <c r="W105" s="76">
        <f t="shared" si="0"/>
        <v>0</v>
      </c>
      <c r="X105" s="77"/>
      <c r="Y105" s="77"/>
      <c r="Z105" s="78"/>
      <c r="AA105" s="43">
        <f>IF(W108=0,0,AE109/W108)</f>
        <v>0</v>
      </c>
      <c r="AB105" s="44"/>
      <c r="AC105" s="44"/>
      <c r="AD105" s="45"/>
      <c r="AE105" s="230">
        <f t="shared" si="1"/>
        <v>0</v>
      </c>
      <c r="AF105" s="231"/>
      <c r="AG105" s="232"/>
    </row>
    <row r="106" spans="1:33" ht="22.5" customHeight="1" x14ac:dyDescent="0.25">
      <c r="A106" s="5">
        <v>13</v>
      </c>
      <c r="B106" s="73">
        <f>B70</f>
        <v>0</v>
      </c>
      <c r="C106" s="74"/>
      <c r="D106" s="74"/>
      <c r="E106" s="74"/>
      <c r="F106" s="74"/>
      <c r="G106" s="74"/>
      <c r="H106" s="75"/>
      <c r="I106" s="89">
        <f>C70</f>
        <v>0</v>
      </c>
      <c r="J106" s="90"/>
      <c r="K106" s="91"/>
      <c r="L106" s="89"/>
      <c r="M106" s="90"/>
      <c r="N106" s="90"/>
      <c r="O106" s="91"/>
      <c r="P106" s="43">
        <f>Y70</f>
        <v>0</v>
      </c>
      <c r="Q106" s="44"/>
      <c r="R106" s="44"/>
      <c r="S106" s="45"/>
      <c r="T106" s="43">
        <f>T70</f>
        <v>0</v>
      </c>
      <c r="U106" s="44"/>
      <c r="V106" s="45"/>
      <c r="W106" s="76">
        <f t="shared" si="0"/>
        <v>0</v>
      </c>
      <c r="X106" s="77"/>
      <c r="Y106" s="77"/>
      <c r="Z106" s="78"/>
      <c r="AA106" s="43">
        <f>IF(W108=0,0,AE109/W108)</f>
        <v>0</v>
      </c>
      <c r="AB106" s="44"/>
      <c r="AC106" s="44"/>
      <c r="AD106" s="45"/>
      <c r="AE106" s="230">
        <f t="shared" si="1"/>
        <v>0</v>
      </c>
      <c r="AF106" s="231"/>
      <c r="AG106" s="232"/>
    </row>
    <row r="107" spans="1:33" ht="22.5" customHeight="1" x14ac:dyDescent="0.25">
      <c r="A107" s="5">
        <v>14</v>
      </c>
      <c r="B107" s="73">
        <f>B72</f>
        <v>0</v>
      </c>
      <c r="C107" s="74"/>
      <c r="D107" s="74"/>
      <c r="E107" s="74"/>
      <c r="F107" s="74"/>
      <c r="G107" s="74"/>
      <c r="H107" s="75"/>
      <c r="I107" s="89">
        <f>C72</f>
        <v>0</v>
      </c>
      <c r="J107" s="90"/>
      <c r="K107" s="91"/>
      <c r="L107" s="89"/>
      <c r="M107" s="90"/>
      <c r="N107" s="90"/>
      <c r="O107" s="91"/>
      <c r="P107" s="43">
        <f>Y72</f>
        <v>0</v>
      </c>
      <c r="Q107" s="44"/>
      <c r="R107" s="44"/>
      <c r="S107" s="45"/>
      <c r="T107" s="43">
        <f>T72</f>
        <v>0</v>
      </c>
      <c r="U107" s="44"/>
      <c r="V107" s="45"/>
      <c r="W107" s="76">
        <f t="shared" si="0"/>
        <v>0</v>
      </c>
      <c r="X107" s="77"/>
      <c r="Y107" s="77"/>
      <c r="Z107" s="78"/>
      <c r="AA107" s="43">
        <f>IF(W108=0,0,AE109/W108)</f>
        <v>0</v>
      </c>
      <c r="AB107" s="44"/>
      <c r="AC107" s="44"/>
      <c r="AD107" s="45"/>
      <c r="AE107" s="230">
        <f t="shared" si="1"/>
        <v>0</v>
      </c>
      <c r="AF107" s="231"/>
      <c r="AG107" s="232"/>
    </row>
    <row r="108" spans="1:33" ht="22.5" customHeight="1" x14ac:dyDescent="0.25">
      <c r="W108" s="76">
        <f>SUM(W94:Z107)</f>
        <v>0</v>
      </c>
      <c r="X108" s="77"/>
      <c r="Y108" s="77"/>
      <c r="Z108" s="78"/>
      <c r="AE108" s="76">
        <f>SUM(AE94:AG107)</f>
        <v>0</v>
      </c>
      <c r="AF108" s="77"/>
      <c r="AG108" s="78"/>
    </row>
    <row r="109" spans="1:33" x14ac:dyDescent="0.25">
      <c r="AB109" s="56" t="s">
        <v>66</v>
      </c>
      <c r="AC109" s="56"/>
      <c r="AD109" s="88"/>
      <c r="AE109" s="82">
        <f>AE32</f>
        <v>0</v>
      </c>
      <c r="AF109" s="83"/>
      <c r="AG109" s="84"/>
    </row>
    <row r="110" spans="1:33" x14ac:dyDescent="0.25">
      <c r="AB110" s="56"/>
      <c r="AC110" s="56"/>
      <c r="AD110" s="88"/>
      <c r="AE110" s="85"/>
      <c r="AF110" s="86"/>
      <c r="AG110" s="87"/>
    </row>
  </sheetData>
  <mergeCells count="658">
    <mergeCell ref="AE30:AF30"/>
    <mergeCell ref="B30:F30"/>
    <mergeCell ref="G30:H30"/>
    <mergeCell ref="I30:L30"/>
    <mergeCell ref="M30:O30"/>
    <mergeCell ref="P30:S30"/>
    <mergeCell ref="T30:U30"/>
    <mergeCell ref="T29:U29"/>
    <mergeCell ref="V29:W29"/>
    <mergeCell ref="X29:Z29"/>
    <mergeCell ref="AA29:AB29"/>
    <mergeCell ref="AC29:AD29"/>
    <mergeCell ref="V30:W30"/>
    <mergeCell ref="X30:Z30"/>
    <mergeCell ref="AA30:AB30"/>
    <mergeCell ref="AC30:AD30"/>
    <mergeCell ref="AE29:AF29"/>
    <mergeCell ref="V28:W28"/>
    <mergeCell ref="X28:Z28"/>
    <mergeCell ref="AA28:AB28"/>
    <mergeCell ref="AC28:AD28"/>
    <mergeCell ref="AE28:AF28"/>
    <mergeCell ref="B29:F29"/>
    <mergeCell ref="G29:H29"/>
    <mergeCell ref="I29:L29"/>
    <mergeCell ref="M29:O29"/>
    <mergeCell ref="P29:S29"/>
    <mergeCell ref="B28:F28"/>
    <mergeCell ref="G28:H28"/>
    <mergeCell ref="I28:L28"/>
    <mergeCell ref="M28:O28"/>
    <mergeCell ref="P28:S28"/>
    <mergeCell ref="T28:U28"/>
    <mergeCell ref="T27:U27"/>
    <mergeCell ref="V27:W27"/>
    <mergeCell ref="X27:Z27"/>
    <mergeCell ref="AA27:AB27"/>
    <mergeCell ref="AC27:AD27"/>
    <mergeCell ref="AE27:AF27"/>
    <mergeCell ref="V26:W26"/>
    <mergeCell ref="X26:Z26"/>
    <mergeCell ref="AA26:AB26"/>
    <mergeCell ref="AC26:AD26"/>
    <mergeCell ref="AE26:AF26"/>
    <mergeCell ref="B27:F27"/>
    <mergeCell ref="G27:H27"/>
    <mergeCell ref="I27:L27"/>
    <mergeCell ref="M27:O27"/>
    <mergeCell ref="P27:S27"/>
    <mergeCell ref="B26:F26"/>
    <mergeCell ref="G26:H26"/>
    <mergeCell ref="I26:L26"/>
    <mergeCell ref="M26:O26"/>
    <mergeCell ref="P26:S26"/>
    <mergeCell ref="T26:U26"/>
    <mergeCell ref="T25:U25"/>
    <mergeCell ref="V25:W25"/>
    <mergeCell ref="X25:Z25"/>
    <mergeCell ref="AA25:AB25"/>
    <mergeCell ref="AC25:AD25"/>
    <mergeCell ref="AE25:AF25"/>
    <mergeCell ref="V24:W24"/>
    <mergeCell ref="X24:Z24"/>
    <mergeCell ref="AA24:AB24"/>
    <mergeCell ref="AC24:AD24"/>
    <mergeCell ref="AE24:AF24"/>
    <mergeCell ref="B25:F25"/>
    <mergeCell ref="G25:H25"/>
    <mergeCell ref="I25:L25"/>
    <mergeCell ref="M25:O25"/>
    <mergeCell ref="P25:S25"/>
    <mergeCell ref="V23:W23"/>
    <mergeCell ref="AA23:AB23"/>
    <mergeCell ref="AC23:AD23"/>
    <mergeCell ref="AE23:AF23"/>
    <mergeCell ref="B24:F24"/>
    <mergeCell ref="G24:H24"/>
    <mergeCell ref="I24:L24"/>
    <mergeCell ref="M24:O24"/>
    <mergeCell ref="P24:S24"/>
    <mergeCell ref="T24:U24"/>
    <mergeCell ref="V22:W22"/>
    <mergeCell ref="AA22:AB22"/>
    <mergeCell ref="AC22:AD22"/>
    <mergeCell ref="AE22:AF22"/>
    <mergeCell ref="B23:F23"/>
    <mergeCell ref="G23:H23"/>
    <mergeCell ref="I23:L23"/>
    <mergeCell ref="M23:O23"/>
    <mergeCell ref="P23:S23"/>
    <mergeCell ref="T23:U23"/>
    <mergeCell ref="B22:F22"/>
    <mergeCell ref="G22:H22"/>
    <mergeCell ref="I22:L22"/>
    <mergeCell ref="M22:O22"/>
    <mergeCell ref="P22:S22"/>
    <mergeCell ref="T22:U22"/>
    <mergeCell ref="T21:U21"/>
    <mergeCell ref="V21:W21"/>
    <mergeCell ref="X21:Z21"/>
    <mergeCell ref="AA21:AB21"/>
    <mergeCell ref="AC21:AD21"/>
    <mergeCell ref="AE21:AF21"/>
    <mergeCell ref="V20:W20"/>
    <mergeCell ref="X20:Z20"/>
    <mergeCell ref="AA20:AB20"/>
    <mergeCell ref="AC20:AD20"/>
    <mergeCell ref="AE20:AF20"/>
    <mergeCell ref="B21:F21"/>
    <mergeCell ref="G21:H21"/>
    <mergeCell ref="I21:L21"/>
    <mergeCell ref="M21:O21"/>
    <mergeCell ref="P21:S21"/>
    <mergeCell ref="V19:W19"/>
    <mergeCell ref="X19:Z19"/>
    <mergeCell ref="AA19:AB19"/>
    <mergeCell ref="AE19:AF19"/>
    <mergeCell ref="B20:F20"/>
    <mergeCell ref="G20:H20"/>
    <mergeCell ref="I20:L20"/>
    <mergeCell ref="M20:O20"/>
    <mergeCell ref="P20:S20"/>
    <mergeCell ref="T20:U20"/>
    <mergeCell ref="V18:W18"/>
    <mergeCell ref="X18:Z18"/>
    <mergeCell ref="AA18:AB18"/>
    <mergeCell ref="AE18:AF18"/>
    <mergeCell ref="B19:F19"/>
    <mergeCell ref="G19:H19"/>
    <mergeCell ref="I19:L19"/>
    <mergeCell ref="M19:O19"/>
    <mergeCell ref="P19:S19"/>
    <mergeCell ref="T19:U19"/>
    <mergeCell ref="P17:S17"/>
    <mergeCell ref="T17:U17"/>
    <mergeCell ref="AA17:AB17"/>
    <mergeCell ref="AE17:AF17"/>
    <mergeCell ref="B18:F18"/>
    <mergeCell ref="G18:H18"/>
    <mergeCell ref="I18:L18"/>
    <mergeCell ref="M18:O18"/>
    <mergeCell ref="P18:S18"/>
    <mergeCell ref="T18:U18"/>
    <mergeCell ref="L104:O104"/>
    <mergeCell ref="P104:S104"/>
    <mergeCell ref="T79:AD79"/>
    <mergeCell ref="T77:X77"/>
    <mergeCell ref="Y77:AG77"/>
    <mergeCell ref="B78:Q78"/>
    <mergeCell ref="B77:Q77"/>
    <mergeCell ref="S87:U87"/>
    <mergeCell ref="I87:K87"/>
    <mergeCell ref="L87:R87"/>
    <mergeCell ref="I106:K106"/>
    <mergeCell ref="L106:O106"/>
    <mergeCell ref="P106:S106"/>
    <mergeCell ref="P105:S105"/>
    <mergeCell ref="AE68:AE69"/>
    <mergeCell ref="AF68:AF69"/>
    <mergeCell ref="T70:T71"/>
    <mergeCell ref="W70:W71"/>
    <mergeCell ref="U70:U71"/>
    <mergeCell ref="I104:K104"/>
    <mergeCell ref="AA66:AA67"/>
    <mergeCell ref="Z70:Z71"/>
    <mergeCell ref="AA70:AA71"/>
    <mergeCell ref="AD68:AD69"/>
    <mergeCell ref="AB66:AB67"/>
    <mergeCell ref="AG70:AG71"/>
    <mergeCell ref="Z66:Z67"/>
    <mergeCell ref="AC66:AC67"/>
    <mergeCell ref="AF70:AF71"/>
    <mergeCell ref="U68:U69"/>
    <mergeCell ref="V68:V69"/>
    <mergeCell ref="X68:X69"/>
    <mergeCell ref="Z68:Z69"/>
    <mergeCell ref="AB70:AB71"/>
    <mergeCell ref="AC70:AC71"/>
    <mergeCell ref="AC68:AC69"/>
    <mergeCell ref="AF44:AF45"/>
    <mergeCell ref="K36:L36"/>
    <mergeCell ref="T36:AB36"/>
    <mergeCell ref="AG66:AG67"/>
    <mergeCell ref="AG68:AG69"/>
    <mergeCell ref="C46:C47"/>
    <mergeCell ref="U66:U67"/>
    <mergeCell ref="V66:V67"/>
    <mergeCell ref="C68:C69"/>
    <mergeCell ref="AG44:AG45"/>
    <mergeCell ref="B38:AE38"/>
    <mergeCell ref="B14:F14"/>
    <mergeCell ref="B40:H40"/>
    <mergeCell ref="Z44:Z45"/>
    <mergeCell ref="AA44:AA45"/>
    <mergeCell ref="AB44:AE44"/>
    <mergeCell ref="P31:S31"/>
    <mergeCell ref="G17:H17"/>
    <mergeCell ref="I17:L17"/>
    <mergeCell ref="M17:O17"/>
    <mergeCell ref="M16:O16"/>
    <mergeCell ref="P16:S16"/>
    <mergeCell ref="J5:W5"/>
    <mergeCell ref="Q7:U7"/>
    <mergeCell ref="Q8:U8"/>
    <mergeCell ref="V8:Z8"/>
    <mergeCell ref="X14:Z14"/>
    <mergeCell ref="T14:U14"/>
    <mergeCell ref="V14:W14"/>
    <mergeCell ref="T15:U15"/>
    <mergeCell ref="A10:A13"/>
    <mergeCell ref="M11:S11"/>
    <mergeCell ref="V12:W13"/>
    <mergeCell ref="G10:H13"/>
    <mergeCell ref="T11:W11"/>
    <mergeCell ref="I10:W10"/>
    <mergeCell ref="P12:S13"/>
    <mergeCell ref="B10:F13"/>
    <mergeCell ref="I11:L13"/>
    <mergeCell ref="T12:U13"/>
    <mergeCell ref="B16:F16"/>
    <mergeCell ref="M31:O31"/>
    <mergeCell ref="G16:H16"/>
    <mergeCell ref="P14:S14"/>
    <mergeCell ref="P15:S15"/>
    <mergeCell ref="B15:F15"/>
    <mergeCell ref="B31:F31"/>
    <mergeCell ref="G31:H31"/>
    <mergeCell ref="M15:O15"/>
    <mergeCell ref="I16:L16"/>
    <mergeCell ref="G14:H14"/>
    <mergeCell ref="I14:L14"/>
    <mergeCell ref="G15:H15"/>
    <mergeCell ref="A43:A45"/>
    <mergeCell ref="C43:C45"/>
    <mergeCell ref="D43:S43"/>
    <mergeCell ref="B43:B45"/>
    <mergeCell ref="B17:F17"/>
    <mergeCell ref="K34:L34"/>
    <mergeCell ref="G36:J36"/>
    <mergeCell ref="T31:U31"/>
    <mergeCell ref="Y43:AA43"/>
    <mergeCell ref="AA16:AB16"/>
    <mergeCell ref="T44:V44"/>
    <mergeCell ref="W44:W45"/>
    <mergeCell ref="X16:Z16"/>
    <mergeCell ref="T43:X43"/>
    <mergeCell ref="Y44:Y45"/>
    <mergeCell ref="AB43:AG43"/>
    <mergeCell ref="AE16:AF16"/>
    <mergeCell ref="T46:T47"/>
    <mergeCell ref="V17:W17"/>
    <mergeCell ref="U46:U47"/>
    <mergeCell ref="X22:Z22"/>
    <mergeCell ref="X23:Z23"/>
    <mergeCell ref="X17:Z17"/>
    <mergeCell ref="T34:AB34"/>
    <mergeCell ref="D35:AC35"/>
    <mergeCell ref="B36:F36"/>
    <mergeCell ref="W46:W47"/>
    <mergeCell ref="AD46:AD47"/>
    <mergeCell ref="AA46:AA47"/>
    <mergeCell ref="AB46:AB47"/>
    <mergeCell ref="X46:X47"/>
    <mergeCell ref="Y46:Y47"/>
    <mergeCell ref="X44:X45"/>
    <mergeCell ref="Z46:Z47"/>
    <mergeCell ref="A48:A49"/>
    <mergeCell ref="B48:B49"/>
    <mergeCell ref="C48:C49"/>
    <mergeCell ref="T48:T49"/>
    <mergeCell ref="A46:A47"/>
    <mergeCell ref="AC48:AC49"/>
    <mergeCell ref="U48:U49"/>
    <mergeCell ref="V46:V47"/>
    <mergeCell ref="V48:V49"/>
    <mergeCell ref="W48:W49"/>
    <mergeCell ref="AE48:AE49"/>
    <mergeCell ref="X48:X49"/>
    <mergeCell ref="Y48:Y49"/>
    <mergeCell ref="B46:B47"/>
    <mergeCell ref="AG48:AG49"/>
    <mergeCell ref="AG46:AG47"/>
    <mergeCell ref="Z48:Z49"/>
    <mergeCell ref="AA48:AA49"/>
    <mergeCell ref="AB48:AB49"/>
    <mergeCell ref="AC46:AC47"/>
    <mergeCell ref="AE46:AE47"/>
    <mergeCell ref="AF48:AF49"/>
    <mergeCell ref="AD48:AD49"/>
    <mergeCell ref="AF50:AF51"/>
    <mergeCell ref="AA50:AA51"/>
    <mergeCell ref="AB50:AB51"/>
    <mergeCell ref="AE50:AE51"/>
    <mergeCell ref="AD50:AD51"/>
    <mergeCell ref="AC50:AC51"/>
    <mergeCell ref="AF46:AF47"/>
    <mergeCell ref="Y50:Y51"/>
    <mergeCell ref="X50:X51"/>
    <mergeCell ref="A50:A51"/>
    <mergeCell ref="B50:B51"/>
    <mergeCell ref="C50:C51"/>
    <mergeCell ref="T50:T51"/>
    <mergeCell ref="W50:W51"/>
    <mergeCell ref="U50:U51"/>
    <mergeCell ref="V50:V51"/>
    <mergeCell ref="V52:V53"/>
    <mergeCell ref="W52:W53"/>
    <mergeCell ref="X52:X53"/>
    <mergeCell ref="A52:A53"/>
    <mergeCell ref="B52:B53"/>
    <mergeCell ref="C52:C53"/>
    <mergeCell ref="T52:T53"/>
    <mergeCell ref="U52:U53"/>
    <mergeCell ref="AG52:AG53"/>
    <mergeCell ref="AD52:AD53"/>
    <mergeCell ref="AE52:AE53"/>
    <mergeCell ref="AG50:AG51"/>
    <mergeCell ref="AF52:AF53"/>
    <mergeCell ref="Z52:Z53"/>
    <mergeCell ref="AA52:AA53"/>
    <mergeCell ref="AB52:AB53"/>
    <mergeCell ref="AC52:AC53"/>
    <mergeCell ref="Z50:Z51"/>
    <mergeCell ref="A54:A55"/>
    <mergeCell ref="B54:B55"/>
    <mergeCell ref="C54:C55"/>
    <mergeCell ref="T54:T55"/>
    <mergeCell ref="Z54:Z55"/>
    <mergeCell ref="W54:W55"/>
    <mergeCell ref="X54:X55"/>
    <mergeCell ref="U54:U55"/>
    <mergeCell ref="Y54:Y55"/>
    <mergeCell ref="V54:V55"/>
    <mergeCell ref="AF54:AF55"/>
    <mergeCell ref="AA54:AA55"/>
    <mergeCell ref="AB54:AB55"/>
    <mergeCell ref="AE54:AE55"/>
    <mergeCell ref="AD54:AD55"/>
    <mergeCell ref="AC54:AC55"/>
    <mergeCell ref="W56:W57"/>
    <mergeCell ref="B56:B57"/>
    <mergeCell ref="C60:C61"/>
    <mergeCell ref="B60:B61"/>
    <mergeCell ref="T56:T57"/>
    <mergeCell ref="U56:U57"/>
    <mergeCell ref="C56:C57"/>
    <mergeCell ref="B58:B59"/>
    <mergeCell ref="U58:U59"/>
    <mergeCell ref="W60:W61"/>
    <mergeCell ref="X56:X57"/>
    <mergeCell ref="X60:X61"/>
    <mergeCell ref="Z58:Z59"/>
    <mergeCell ref="AA58:AA59"/>
    <mergeCell ref="AC58:AC59"/>
    <mergeCell ref="Z60:Z61"/>
    <mergeCell ref="AA60:AA61"/>
    <mergeCell ref="AB60:AB61"/>
    <mergeCell ref="X58:X59"/>
    <mergeCell ref="Y58:Y59"/>
    <mergeCell ref="A56:A57"/>
    <mergeCell ref="A72:A73"/>
    <mergeCell ref="B64:B65"/>
    <mergeCell ref="B70:B71"/>
    <mergeCell ref="A68:A69"/>
    <mergeCell ref="B68:B69"/>
    <mergeCell ref="B66:B67"/>
    <mergeCell ref="A70:A71"/>
    <mergeCell ref="A66:A67"/>
    <mergeCell ref="A64:A65"/>
    <mergeCell ref="A62:A63"/>
    <mergeCell ref="C58:C59"/>
    <mergeCell ref="T58:T59"/>
    <mergeCell ref="C66:C67"/>
    <mergeCell ref="T66:T67"/>
    <mergeCell ref="B62:B63"/>
    <mergeCell ref="C62:C63"/>
    <mergeCell ref="AG56:AG57"/>
    <mergeCell ref="Z56:Z57"/>
    <mergeCell ref="AA56:AA57"/>
    <mergeCell ref="AB56:AB57"/>
    <mergeCell ref="AC56:AC57"/>
    <mergeCell ref="AE58:AE59"/>
    <mergeCell ref="AF58:AF59"/>
    <mergeCell ref="AG58:AG59"/>
    <mergeCell ref="AB58:AB59"/>
    <mergeCell ref="AD56:AD57"/>
    <mergeCell ref="AG60:AG61"/>
    <mergeCell ref="Z62:Z63"/>
    <mergeCell ref="AA62:AA63"/>
    <mergeCell ref="AF62:AF63"/>
    <mergeCell ref="AG62:AG63"/>
    <mergeCell ref="AC60:AC61"/>
    <mergeCell ref="AB62:AB63"/>
    <mergeCell ref="AF56:AF57"/>
    <mergeCell ref="AE56:AE57"/>
    <mergeCell ref="AF66:AF67"/>
    <mergeCell ref="AE62:AE63"/>
    <mergeCell ref="AD60:AD61"/>
    <mergeCell ref="AE60:AE61"/>
    <mergeCell ref="AD64:AD65"/>
    <mergeCell ref="AC72:AC73"/>
    <mergeCell ref="AF60:AF61"/>
    <mergeCell ref="AC62:AC63"/>
    <mergeCell ref="AC64:AC65"/>
    <mergeCell ref="AF64:AF65"/>
    <mergeCell ref="AE64:AE65"/>
    <mergeCell ref="Z64:Z65"/>
    <mergeCell ref="X62:X63"/>
    <mergeCell ref="X64:X65"/>
    <mergeCell ref="Y64:Y65"/>
    <mergeCell ref="V60:V61"/>
    <mergeCell ref="AD62:AD63"/>
    <mergeCell ref="Y62:Y63"/>
    <mergeCell ref="X66:X67"/>
    <mergeCell ref="Y66:Y67"/>
    <mergeCell ref="X70:X71"/>
    <mergeCell ref="Y70:Y71"/>
    <mergeCell ref="V62:V63"/>
    <mergeCell ref="W62:W63"/>
    <mergeCell ref="Y68:Y69"/>
    <mergeCell ref="V64:V65"/>
    <mergeCell ref="W66:W67"/>
    <mergeCell ref="W68:W69"/>
    <mergeCell ref="AG64:AG65"/>
    <mergeCell ref="V70:V71"/>
    <mergeCell ref="W64:W65"/>
    <mergeCell ref="AD66:AD67"/>
    <mergeCell ref="AE66:AE67"/>
    <mergeCell ref="AD70:AD71"/>
    <mergeCell ref="AE70:AE71"/>
    <mergeCell ref="AA68:AA69"/>
    <mergeCell ref="AB68:AB69"/>
    <mergeCell ref="AB64:AB65"/>
    <mergeCell ref="AG72:AG73"/>
    <mergeCell ref="B76:Q76"/>
    <mergeCell ref="T76:AG76"/>
    <mergeCell ref="Q74:S74"/>
    <mergeCell ref="U72:U73"/>
    <mergeCell ref="T72:T73"/>
    <mergeCell ref="V72:V73"/>
    <mergeCell ref="AA72:AA73"/>
    <mergeCell ref="AB72:AB73"/>
    <mergeCell ref="Z72:Z73"/>
    <mergeCell ref="B1:E1"/>
    <mergeCell ref="G3:T3"/>
    <mergeCell ref="AA31:AB31"/>
    <mergeCell ref="F4:H4"/>
    <mergeCell ref="W72:W73"/>
    <mergeCell ref="AA64:AA65"/>
    <mergeCell ref="C72:C73"/>
    <mergeCell ref="I4:P4"/>
    <mergeCell ref="A4:C4"/>
    <mergeCell ref="X72:X73"/>
    <mergeCell ref="AE3:AF3"/>
    <mergeCell ref="AA3:AD3"/>
    <mergeCell ref="A3:C3"/>
    <mergeCell ref="A2:F2"/>
    <mergeCell ref="AD72:AD73"/>
    <mergeCell ref="AE72:AE73"/>
    <mergeCell ref="AF72:AF73"/>
    <mergeCell ref="AA11:AB13"/>
    <mergeCell ref="AE4:AF4"/>
    <mergeCell ref="V7:Z7"/>
    <mergeCell ref="AE11:AF13"/>
    <mergeCell ref="V15:W15"/>
    <mergeCell ref="X15:Z15"/>
    <mergeCell ref="AA15:AB15"/>
    <mergeCell ref="AC15:AD15"/>
    <mergeCell ref="AA14:AB14"/>
    <mergeCell ref="AC14:AD14"/>
    <mergeCell ref="AE14:AF14"/>
    <mergeCell ref="AE15:AF15"/>
    <mergeCell ref="AG10:AG13"/>
    <mergeCell ref="AA5:AD5"/>
    <mergeCell ref="AE5:AF5"/>
    <mergeCell ref="AE7:AG7"/>
    <mergeCell ref="AA7:AD7"/>
    <mergeCell ref="AA8:AD8"/>
    <mergeCell ref="AE8:AG8"/>
    <mergeCell ref="X10:AF10"/>
    <mergeCell ref="X11:Z13"/>
    <mergeCell ref="AC11:AD13"/>
    <mergeCell ref="T16:U16"/>
    <mergeCell ref="V16:W16"/>
    <mergeCell ref="AC16:AD16"/>
    <mergeCell ref="V31:W31"/>
    <mergeCell ref="I15:L15"/>
    <mergeCell ref="I31:L31"/>
    <mergeCell ref="AC31:AD31"/>
    <mergeCell ref="AC17:AD17"/>
    <mergeCell ref="AC18:AD18"/>
    <mergeCell ref="AC19:AD19"/>
    <mergeCell ref="AE31:AF31"/>
    <mergeCell ref="AE32:AF32"/>
    <mergeCell ref="AG54:AG55"/>
    <mergeCell ref="W96:Z96"/>
    <mergeCell ref="P95:S95"/>
    <mergeCell ref="L97:O97"/>
    <mergeCell ref="AA96:AD96"/>
    <mergeCell ref="AD58:AD59"/>
    <mergeCell ref="V58:V59"/>
    <mergeCell ref="W58:W59"/>
    <mergeCell ref="AE91:AG93"/>
    <mergeCell ref="A89:AG89"/>
    <mergeCell ref="A91:A93"/>
    <mergeCell ref="B91:H93"/>
    <mergeCell ref="I91:K93"/>
    <mergeCell ref="L91:O93"/>
    <mergeCell ref="P91:S93"/>
    <mergeCell ref="T91:V93"/>
    <mergeCell ref="W91:Z93"/>
    <mergeCell ref="K90:U90"/>
    <mergeCell ref="W94:Z94"/>
    <mergeCell ref="T95:V95"/>
    <mergeCell ref="B98:H98"/>
    <mergeCell ref="I99:K99"/>
    <mergeCell ref="AA91:AD93"/>
    <mergeCell ref="T94:V94"/>
    <mergeCell ref="I97:K97"/>
    <mergeCell ref="I98:K98"/>
    <mergeCell ref="AA95:AD95"/>
    <mergeCell ref="P96:S96"/>
    <mergeCell ref="L100:O100"/>
    <mergeCell ref="P100:S100"/>
    <mergeCell ref="L98:O98"/>
    <mergeCell ref="B97:H97"/>
    <mergeCell ref="L94:O94"/>
    <mergeCell ref="L95:O95"/>
    <mergeCell ref="I95:K95"/>
    <mergeCell ref="P94:S94"/>
    <mergeCell ref="I96:K96"/>
    <mergeCell ref="L96:O96"/>
    <mergeCell ref="I102:K102"/>
    <mergeCell ref="I100:K100"/>
    <mergeCell ref="AE94:AG94"/>
    <mergeCell ref="B95:H95"/>
    <mergeCell ref="B96:H96"/>
    <mergeCell ref="AE95:AG95"/>
    <mergeCell ref="B94:H94"/>
    <mergeCell ref="I94:K94"/>
    <mergeCell ref="AE96:AG96"/>
    <mergeCell ref="T96:V96"/>
    <mergeCell ref="B107:H107"/>
    <mergeCell ref="I103:K103"/>
    <mergeCell ref="I107:K107"/>
    <mergeCell ref="L107:O107"/>
    <mergeCell ref="B103:H103"/>
    <mergeCell ref="L103:O103"/>
    <mergeCell ref="B105:H105"/>
    <mergeCell ref="I105:K105"/>
    <mergeCell ref="L105:O105"/>
    <mergeCell ref="B104:H104"/>
    <mergeCell ref="W107:Z107"/>
    <mergeCell ref="P97:S97"/>
    <mergeCell ref="P98:S98"/>
    <mergeCell ref="P99:S99"/>
    <mergeCell ref="T97:V97"/>
    <mergeCell ref="T98:V98"/>
    <mergeCell ref="P103:S103"/>
    <mergeCell ref="P107:S107"/>
    <mergeCell ref="P102:S102"/>
    <mergeCell ref="P101:S101"/>
    <mergeCell ref="AA100:AD100"/>
    <mergeCell ref="AE101:AG101"/>
    <mergeCell ref="AE102:AG102"/>
    <mergeCell ref="W99:Z99"/>
    <mergeCell ref="B106:H106"/>
    <mergeCell ref="L101:O101"/>
    <mergeCell ref="L102:O102"/>
    <mergeCell ref="L99:O99"/>
    <mergeCell ref="B102:H102"/>
    <mergeCell ref="B99:H99"/>
    <mergeCell ref="AE99:AG99"/>
    <mergeCell ref="AA97:AD97"/>
    <mergeCell ref="AA98:AD98"/>
    <mergeCell ref="AA99:AD99"/>
    <mergeCell ref="W97:Z97"/>
    <mergeCell ref="T103:V103"/>
    <mergeCell ref="AE100:AG100"/>
    <mergeCell ref="T99:V99"/>
    <mergeCell ref="W101:Z101"/>
    <mergeCell ref="W100:Z100"/>
    <mergeCell ref="AE109:AG110"/>
    <mergeCell ref="AA102:AD102"/>
    <mergeCell ref="AA101:AD101"/>
    <mergeCell ref="T101:V101"/>
    <mergeCell ref="AB109:AD110"/>
    <mergeCell ref="W103:Z103"/>
    <mergeCell ref="T107:V107"/>
    <mergeCell ref="T105:V105"/>
    <mergeCell ref="T104:V104"/>
    <mergeCell ref="T106:V106"/>
    <mergeCell ref="W108:Z108"/>
    <mergeCell ref="AE108:AG108"/>
    <mergeCell ref="AA103:AD103"/>
    <mergeCell ref="AA107:AD107"/>
    <mergeCell ref="W105:Z105"/>
    <mergeCell ref="AE107:AG107"/>
    <mergeCell ref="AA105:AD105"/>
    <mergeCell ref="AE105:AG105"/>
    <mergeCell ref="AA106:AD106"/>
    <mergeCell ref="AE106:AG106"/>
    <mergeCell ref="W106:Z106"/>
    <mergeCell ref="AA104:AD104"/>
    <mergeCell ref="AE104:AG104"/>
    <mergeCell ref="AE103:AG103"/>
    <mergeCell ref="W102:Z102"/>
    <mergeCell ref="W104:Z104"/>
    <mergeCell ref="AE97:AG97"/>
    <mergeCell ref="W98:Z98"/>
    <mergeCell ref="T64:T65"/>
    <mergeCell ref="X31:Z31"/>
    <mergeCell ref="X82:AD82"/>
    <mergeCell ref="T60:T61"/>
    <mergeCell ref="T68:T69"/>
    <mergeCell ref="AE98:AG98"/>
    <mergeCell ref="AA94:AD94"/>
    <mergeCell ref="W95:Z95"/>
    <mergeCell ref="D86:Z86"/>
    <mergeCell ref="C81:K81"/>
    <mergeCell ref="L81:M81"/>
    <mergeCell ref="T62:T63"/>
    <mergeCell ref="B72:B73"/>
    <mergeCell ref="T102:V102"/>
    <mergeCell ref="T100:V100"/>
    <mergeCell ref="B100:H100"/>
    <mergeCell ref="B101:H101"/>
    <mergeCell ref="I101:K101"/>
    <mergeCell ref="Q4:R4"/>
    <mergeCell ref="M12:O13"/>
    <mergeCell ref="P42:S42"/>
    <mergeCell ref="C70:C71"/>
    <mergeCell ref="A58:A59"/>
    <mergeCell ref="A60:A61"/>
    <mergeCell ref="M14:O14"/>
    <mergeCell ref="A5:I5"/>
    <mergeCell ref="G34:J34"/>
    <mergeCell ref="C64:C65"/>
    <mergeCell ref="B79:Q79"/>
    <mergeCell ref="T80:Y80"/>
    <mergeCell ref="D42:I42"/>
    <mergeCell ref="J42:O42"/>
    <mergeCell ref="A6:C6"/>
    <mergeCell ref="Y56:Y57"/>
    <mergeCell ref="V56:V57"/>
    <mergeCell ref="Y52:Y53"/>
    <mergeCell ref="Y72:Y73"/>
    <mergeCell ref="Y60:Y61"/>
    <mergeCell ref="I84:U84"/>
    <mergeCell ref="U60:U61"/>
    <mergeCell ref="U62:U63"/>
    <mergeCell ref="Z80:AG80"/>
    <mergeCell ref="Z81:AG81"/>
    <mergeCell ref="AA4:AD4"/>
    <mergeCell ref="E9:P9"/>
    <mergeCell ref="AB32:AD32"/>
    <mergeCell ref="B34:F34"/>
    <mergeCell ref="U64:U65"/>
  </mergeCells>
  <phoneticPr fontId="2" type="noConversion"/>
  <pageMargins left="0.39370078740157483" right="0.39370078740157483" top="0.39370078740157483" bottom="0.39370078740157483" header="0.39370078740157483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ИТОГО</vt:lpstr>
      <vt:lpstr>001</vt:lpstr>
      <vt:lpstr>Рабочие</vt:lpstr>
      <vt:lpstr>SDLG</vt:lpstr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2025-12-04T09:55:26Z</cp:lastPrinted>
  <dcterms:created xsi:type="dcterms:W3CDTF">2010-12-12T17:00:55Z</dcterms:created>
  <dcterms:modified xsi:type="dcterms:W3CDTF">2026-05-02T09:27:23Z</dcterms:modified>
</cp:coreProperties>
</file>